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X-A1 10-City Comparison" sheetId="2" state="visible" r:id="rId2"/>
    <sheet name="Case Charts Insights" sheetId="3" state="visible" r:id="rId3"/>
    <sheet name="AX-A2 3-City Paths" sheetId="4" state="visible" r:id="rId4"/>
    <sheet name="AX-A3 Contraction Analysis" sheetId="5" state="visible" r:id="rId5"/>
    <sheet name="Assumptions &amp; Sources" sheetId="6" state="visible" r:id="rId6"/>
    <sheet name="AX-A4 EBIT Mode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"/>
    <numFmt numFmtId="166" formatCode="0.0%"/>
  </numFmts>
  <fonts count="18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10"/>
    </font>
    <font>
      <b val="1"/>
      <sz val="11"/>
    </font>
    <font>
      <b val="1"/>
      <color rgb="00FFFFFF"/>
      <sz val="9"/>
    </font>
    <font>
      <sz val="9"/>
    </font>
    <font>
      <b val="1"/>
      <sz val="12"/>
    </font>
    <font>
      <b val="1"/>
      <color rgb="00C6EFCE"/>
    </font>
    <font>
      <b val="1"/>
      <sz val="9"/>
    </font>
    <font>
      <b val="1"/>
      <color rgb="002F5496"/>
      <sz val="11"/>
    </font>
    <font>
      <b val="1"/>
      <sz val="10"/>
    </font>
    <font>
      <i val="1"/>
      <color rgb="00666666"/>
      <sz val="9"/>
    </font>
    <font>
      <b val="1"/>
      <color rgb="00FFFFFF"/>
      <sz val="10"/>
    </font>
    <font>
      <sz val="10"/>
    </font>
    <font>
      <b val="1"/>
      <color rgb="00FFFFFF"/>
      <sz val="12"/>
    </font>
    <font>
      <b val="1"/>
      <color rgb="00000000"/>
      <sz val="9"/>
    </font>
    <font>
      <b val="1"/>
      <color rgb="00C00000"/>
      <sz val="9"/>
    </font>
    <font>
      <i val="1"/>
      <color rgb="00666666"/>
      <sz val="8"/>
    </font>
  </fonts>
  <fills count="1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D9D9D9"/>
      </patternFill>
    </fill>
    <fill>
      <patternFill patternType="solid">
        <fgColor rgb="00FFE599"/>
      </patternFill>
    </fill>
    <fill>
      <patternFill patternType="solid">
        <fgColor rgb="00C00000"/>
      </patternFill>
    </fill>
    <fill>
      <patternFill patternType="solid">
        <fgColor rgb="00404040"/>
      </patternFill>
    </fill>
    <fill>
      <patternFill patternType="solid">
        <fgColor rgb="001F4E79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5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6" fillId="0" borderId="0" pivotButton="0" quotePrefix="0" xfId="0"/>
    <xf numFmtId="0" fontId="4" fillId="2" borderId="0" applyAlignment="1" pivotButton="0" quotePrefix="0" xfId="0">
      <alignment horizontal="center" wrapText="1"/>
    </xf>
    <xf numFmtId="0" fontId="5" fillId="4" borderId="0" applyAlignment="1" pivotButton="0" quotePrefix="0" xfId="0">
      <alignment horizontal="left"/>
    </xf>
    <xf numFmtId="0" fontId="5" fillId="4" borderId="0" applyAlignment="1" pivotButton="0" quotePrefix="0" xfId="0">
      <alignment horizontal="center"/>
    </xf>
    <xf numFmtId="0" fontId="5" fillId="3" borderId="0" applyAlignment="1" pivotButton="0" quotePrefix="0" xfId="0">
      <alignment horizontal="left"/>
    </xf>
    <xf numFmtId="0" fontId="5" fillId="3" borderId="0" applyAlignment="1" pivotButton="0" quotePrefix="0" xfId="0">
      <alignment horizontal="center"/>
    </xf>
    <xf numFmtId="0" fontId="5" fillId="5" borderId="0" applyAlignment="1" pivotButton="0" quotePrefix="0" xfId="0">
      <alignment horizontal="left"/>
    </xf>
    <xf numFmtId="0" fontId="5" fillId="5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0" borderId="0" pivotButton="0" quotePrefix="0" xfId="0"/>
    <xf numFmtId="0" fontId="5" fillId="6" borderId="0" applyAlignment="1" pivotButton="0" quotePrefix="0" xfId="0">
      <alignment vertical="top" wrapText="1"/>
    </xf>
    <xf numFmtId="0" fontId="5" fillId="7" borderId="0" applyAlignment="1" pivotButton="0" quotePrefix="0" xfId="0">
      <alignment vertical="top" wrapText="1"/>
    </xf>
    <xf numFmtId="0" fontId="5" fillId="8" borderId="0" applyAlignment="1" pivotButton="0" quotePrefix="0" xfId="0">
      <alignment vertical="top" wrapText="1"/>
    </xf>
    <xf numFmtId="0" fontId="10" fillId="0" borderId="0" pivotButton="0" quotePrefix="0" xfId="0"/>
    <xf numFmtId="0" fontId="8" fillId="9" borderId="0" pivotButton="0" quotePrefix="0" xfId="0"/>
    <xf numFmtId="0" fontId="4" fillId="2" borderId="0" pivotButton="0" quotePrefix="0" xfId="0"/>
    <xf numFmtId="0" fontId="5" fillId="5" borderId="0" applyAlignment="1" pivotButton="0" quotePrefix="0" xfId="0">
      <alignment vertical="top" wrapText="1"/>
    </xf>
    <xf numFmtId="0" fontId="11" fillId="0" borderId="0" pivotButton="0" quotePrefix="0" xfId="0"/>
    <xf numFmtId="0" fontId="12" fillId="2" borderId="0" applyAlignment="1" pivotButton="0" quotePrefix="0" xfId="0">
      <alignment horizontal="center"/>
    </xf>
    <xf numFmtId="0" fontId="13" fillId="3" borderId="0" pivotButton="0" quotePrefix="0" xfId="0"/>
    <xf numFmtId="0" fontId="13" fillId="0" borderId="0" pivotButton="0" quotePrefix="0" xfId="0"/>
    <xf numFmtId="0" fontId="5" fillId="1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/>
    </xf>
    <xf numFmtId="0" fontId="13" fillId="0" borderId="0" applyAlignment="1" pivotButton="0" quotePrefix="0" xfId="0">
      <alignment wrapText="1"/>
    </xf>
    <xf numFmtId="0" fontId="14" fillId="11" borderId="0" applyAlignment="1" pivotButton="0" quotePrefix="0" xfId="0">
      <alignment horizontal="center" vertical="center" wrapText="1"/>
    </xf>
    <xf numFmtId="0" fontId="4" fillId="12" borderId="0" applyAlignment="1" pivotButton="0" quotePrefix="0" xfId="0">
      <alignment horizontal="center" vertical="center" wrapText="1"/>
    </xf>
    <xf numFmtId="0" fontId="12" fillId="13" borderId="0" applyAlignment="1" pivotButton="0" quotePrefix="0" xfId="0">
      <alignment horizontal="center" vertical="center" wrapText="1"/>
    </xf>
    <xf numFmtId="0" fontId="4" fillId="14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164" fontId="8" fillId="0" borderId="0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3" fontId="5" fillId="0" borderId="0" applyAlignment="1" pivotButton="0" quotePrefix="0" xfId="0">
      <alignment horizontal="center" vertical="center"/>
    </xf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36" customWidth="1" min="3" max="3"/>
    <col width="36" customWidth="1" min="4" max="4"/>
    <col width="18" customWidth="1" min="5" max="5"/>
    <col width="12" customWidth="1" min="6" max="6"/>
  </cols>
  <sheetData>
    <row r="1">
      <c r="A1" s="1" t="inlineStr">
        <is>
          <t>Analysis Workbook — Instant Retail Co. Tier 3-4 Strategy</t>
        </is>
      </c>
    </row>
    <row r="2">
      <c r="A2" s="2" t="inlineStr">
        <is>
          <t>Step 5 Analysis | 2026-04-30 | CONFIDENTIAL</t>
        </is>
      </c>
    </row>
    <row r="4">
      <c r="A4" s="3" t="inlineStr">
        <is>
          <t>Summary of Findings</t>
        </is>
      </c>
    </row>
    <row r="5">
      <c r="A5" s="4" t="inlineStr">
        <is>
          <t>#</t>
        </is>
      </c>
      <c r="B5" s="4" t="inlineStr">
        <is>
          <t>Analysis</t>
        </is>
      </c>
      <c r="C5" s="4" t="inlineStr">
        <is>
          <t>Key Finding</t>
        </is>
      </c>
      <c r="D5" s="4" t="inlineStr">
        <is>
          <t>Implication for Key Question</t>
        </is>
      </c>
      <c r="E5" s="4" t="inlineStr">
        <is>
          <t>Hypothesis Status</t>
        </is>
      </c>
      <c r="F5" s="4" t="inlineStr">
        <is>
          <t>Confidence</t>
        </is>
      </c>
    </row>
    <row r="6" ht="42" customHeight="1">
      <c r="A6" s="5" t="inlineStr">
        <is>
          <t>A1</t>
        </is>
      </c>
      <c r="B6" s="5" t="inlineStr">
        <is>
          <t>10-City Comparative</t>
        </is>
      </c>
      <c r="C6" s="5" t="inlineStr">
        <is>
          <t>C3/C7/C8最优 (AOV高+补贴低); C10/C9/C4最差 (AOV低+补贴高)</t>
        </is>
      </c>
      <c r="D6" s="5" t="inlineStr">
        <is>
          <t>城市质量差异显著，选择性收缩+聚焦3城是核心杠杆</t>
        </is>
      </c>
      <c r="E6" s="6" t="inlineStr">
        <is>
          <t>Partially confirmed</t>
        </is>
      </c>
      <c r="F6" s="5" t="inlineStr">
        <is>
          <t>High</t>
        </is>
      </c>
    </row>
    <row r="7" ht="42" customHeight="1">
      <c r="A7" s="5" t="inlineStr">
        <is>
          <t>A2</t>
        </is>
      </c>
      <c r="B7" s="5" t="inlineStr">
        <is>
          <t>3-City Profit Path + Weihai Insights</t>
        </is>
      </c>
      <c r="C7" s="5" t="inlineStr">
        <is>
          <t>泉州=大超深度; 惠州=规模; 威海=高AOV低履约;三条不同路径</t>
        </is>
      </c>
      <c r="D7" s="5" t="inlineStr">
        <is>
          <t>复制需三种独立playbook;威海模式在C7/C1部分可复制</t>
        </is>
      </c>
      <c r="E7" s="6" t="inlineStr">
        <is>
          <t>Partially confirmed</t>
        </is>
      </c>
      <c r="F7" s="5" t="inlineStr">
        <is>
          <t>High</t>
        </is>
      </c>
    </row>
    <row r="8" ht="42" customHeight="1">
      <c r="A8" s="5" t="inlineStr">
        <is>
          <t>A3</t>
        </is>
      </c>
      <c r="B8" s="5" t="inlineStr">
        <is>
          <t>Selective Contraction Analysis</t>
        </is>
      </c>
      <c r="C8" s="5" t="inlineStr">
        <is>
          <t>退出2城节省~3,000万/年; 4城部分收缩~1,850万/年</t>
        </is>
      </c>
      <c r="D8" s="5" t="inlineStr">
        <is>
          <t>选择性收缩是第一步止血，释放资源向优先城市集中</t>
        </is>
      </c>
      <c r="E8" s="7" t="inlineStr">
        <is>
          <t>Confirmed</t>
        </is>
      </c>
      <c r="F8" s="5" t="inlineStr">
        <is>
          <t>High</t>
        </is>
      </c>
    </row>
    <row r="9" ht="42" customHeight="1">
      <c r="A9" s="5" t="inlineStr">
        <is>
          <t>B1</t>
        </is>
      </c>
      <c r="B9" s="5" t="inlineStr">
        <is>
          <t>Meituan Research</t>
        </is>
      </c>
      <c r="C9" s="5" t="inlineStr">
        <is>
          <t>美团全国单均补贴估算2-4元; 三四线竞争中等偏强</t>
        </is>
      </c>
      <c r="D9" s="5" t="inlineStr">
        <is>
          <t>补贴下限约3-3.5元，压降空间存在但有限</t>
        </is>
      </c>
      <c r="E9" s="6" t="inlineStr">
        <is>
          <t>Pending</t>
        </is>
      </c>
      <c r="F9" s="5" t="inlineStr">
        <is>
          <t>Medium</t>
        </is>
      </c>
    </row>
    <row r="10" ht="42" customHeight="1">
      <c r="A10" s="5" t="inlineStr">
        <is>
          <t>B2</t>
        </is>
      </c>
      <c r="B10" s="5" t="inlineStr">
        <is>
          <t>JD Research</t>
        </is>
      </c>
      <c r="C10" s="5" t="inlineStr">
        <is>
          <t>京东到家低线城市渗透有限; 主要竞争来自美团</t>
        </is>
      </c>
      <c r="D10" s="5" t="inlineStr">
        <is>
          <t>JD威胁相对可控</t>
        </is>
      </c>
      <c r="E10" s="6" t="inlineStr">
        <is>
          <t>Pending</t>
        </is>
      </c>
      <c r="F10" s="5" t="inlineStr">
        <is>
          <t>Medium</t>
        </is>
      </c>
    </row>
    <row r="11" ht="42" customHeight="1">
      <c r="A11" s="5" t="inlineStr">
        <is>
          <t>B3</t>
        </is>
      </c>
      <c r="B11" s="5" t="inlineStr">
        <is>
          <t>Competitive Scenarios</t>
        </is>
      </c>
      <c r="C11" s="5" t="inlineStr">
        <is>
          <t>高情景: 下限3.5-4元; 中: 3元; 低: 2.5元</t>
        </is>
      </c>
      <c r="D11" s="5" t="inlineStr">
        <is>
          <t>即使高情景也有~0.5元压降空间</t>
        </is>
      </c>
      <c r="E11" s="6" t="inlineStr">
        <is>
          <t>Pending</t>
        </is>
      </c>
      <c r="F11" s="5" t="inlineStr">
        <is>
          <t>Medium</t>
        </is>
      </c>
    </row>
    <row r="12" ht="42" customHeight="1">
      <c r="A12" s="5" t="inlineStr">
        <is>
          <t>C1</t>
        </is>
      </c>
      <c r="B12" s="5" t="inlineStr">
        <is>
          <t>Subsidy Efficiency Diagnostic</t>
        </is>
      </c>
      <c r="C12" s="5" t="inlineStr">
        <is>
          <t>C10补贴4.9元+高价值15%(最差); C8补贴3.5元+26%(最优)</t>
        </is>
      </c>
      <c r="D12" s="5" t="inlineStr">
        <is>
          <t>补贴效率差异达2倍，精准化改善空间显著</t>
        </is>
      </c>
      <c r="E12" s="7" t="inlineStr">
        <is>
          <t>Confirmed</t>
        </is>
      </c>
      <c r="F12" s="5" t="inlineStr">
        <is>
          <t>High</t>
        </is>
      </c>
    </row>
    <row r="13" ht="42" customHeight="1">
      <c r="A13" s="5" t="inlineStr">
        <is>
          <t>C2</t>
        </is>
      </c>
      <c r="B13" s="5" t="inlineStr">
        <is>
          <t>HV User Improvement Potential</t>
        </is>
      </c>
      <c r="C13" s="5" t="inlineStr">
        <is>
          <t>威海vs赣州11pp差距主因是品类结构+大超深度</t>
        </is>
      </c>
      <c r="D13" s="5" t="inlineStr">
        <is>
          <t>品类结构和大超合作可在12个月内改善</t>
        </is>
      </c>
      <c r="E13" s="6" t="inlineStr">
        <is>
          <t>Partially confirmed</t>
        </is>
      </c>
      <c r="F13" s="5" t="inlineStr">
        <is>
          <t>Medium</t>
        </is>
      </c>
    </row>
    <row r="14" ht="42" customHeight="1">
      <c r="A14" s="5" t="inlineStr">
        <is>
          <t>C3</t>
        </is>
      </c>
      <c r="B14" s="5" t="inlineStr">
        <is>
          <t>Subsidy Reallocation Scenarios</t>
        </is>
      </c>
      <c r="C14" s="5" t="inlineStr">
        <is>
          <t>保守: 1,500万; 基准: 3,000万; 乐观: 4,500万/年节省</t>
        </is>
      </c>
      <c r="D14" s="5" t="inlineStr">
        <is>
          <t>补贴精准化是最大改善杠杆，3年内可实现显著压降</t>
        </is>
      </c>
      <c r="E14" s="6" t="inlineStr">
        <is>
          <t>Pending — B3 gate</t>
        </is>
      </c>
      <c r="F14" s="5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4" customWidth="1" min="3" max="3"/>
    <col width="13" customWidth="1" min="4" max="4"/>
    <col width="12" customWidth="1" min="5" max="5"/>
    <col width="11" customWidth="1" min="6" max="6"/>
    <col width="13" customWidth="1" min="7" max="7"/>
    <col width="10" customWidth="1" min="8" max="8"/>
    <col width="13" customWidth="1" min="9" max="9"/>
    <col width="10" customWidth="1" min="10" max="10"/>
    <col width="12" customWidth="1" min="11" max="11"/>
    <col width="16" customWidth="1" min="12" max="12"/>
  </cols>
  <sheetData>
    <row r="1">
      <c r="A1" s="8" t="inlineStr">
        <is>
          <t>AX-A1: 10-City Comparative Financial Analysis</t>
        </is>
      </c>
    </row>
    <row r="2">
      <c r="A2" t="inlineStr">
        <is>
          <t>Question: Which cities have best/worst unit economics and why?</t>
        </is>
      </c>
    </row>
    <row r="3">
      <c r="A3" t="inlineStr">
        <is>
          <t>Source: 01-problem-definition.md (10-city dataset, CSO estimates)</t>
        </is>
      </c>
    </row>
    <row r="5">
      <c r="A5" s="9" t="inlineStr">
        <is>
          <t>City</t>
        </is>
      </c>
      <c r="B5" s="9" t="inlineStr">
        <is>
          <t>AOV (元)</t>
        </is>
      </c>
      <c r="C5" s="9" t="inlineStr">
        <is>
          <t>Fulfillment (元)</t>
        </is>
      </c>
      <c r="D5" s="9" t="inlineStr">
        <is>
          <t>Subsidy (元)</t>
        </is>
      </c>
      <c r="E5" s="9" t="inlineStr">
        <is>
          <t>Cost/AOV (%)</t>
        </is>
      </c>
      <c r="F5" s="9" t="inlineStr">
        <is>
          <t>HV User (%)</t>
        </is>
      </c>
      <c r="G5" s="9" t="inlineStr">
        <is>
          <t>Large Super (%)</t>
        </is>
      </c>
      <c r="H5" s="9" t="inlineStr">
        <is>
          <t>Fresh (%)</t>
        </is>
      </c>
      <c r="I5" s="9" t="inlineStr">
        <is>
          <t>Restaurant (%)</t>
        </is>
      </c>
      <c r="J5" s="9" t="inlineStr">
        <is>
          <t>Open Year</t>
        </is>
      </c>
      <c r="K5" s="9" t="inlineStr">
        <is>
          <t>Mkt Share (%)</t>
        </is>
      </c>
      <c r="L5" s="9" t="inlineStr">
        <is>
          <t>Daily Orders (k)</t>
        </is>
      </c>
    </row>
    <row r="6" ht="18" customHeight="1">
      <c r="A6" s="10" t="inlineStr">
        <is>
          <t>C3 泉州</t>
        </is>
      </c>
      <c r="B6" s="11" t="n">
        <v>62</v>
      </c>
      <c r="C6" s="11" t="n">
        <v>10.2</v>
      </c>
      <c r="D6" s="11" t="n">
        <v>3.5</v>
      </c>
      <c r="E6" s="11" t="n">
        <v>22.1</v>
      </c>
      <c r="F6" s="11" t="n">
        <v>25</v>
      </c>
      <c r="G6" s="11" t="n">
        <v>23</v>
      </c>
      <c r="H6" s="11" t="n">
        <v>36</v>
      </c>
      <c r="I6" s="11" t="n">
        <v>22</v>
      </c>
      <c r="J6" s="11" t="n">
        <v>2018</v>
      </c>
      <c r="K6" s="11" t="n">
        <v>35</v>
      </c>
      <c r="L6" s="11" t="n">
        <v>130</v>
      </c>
    </row>
    <row r="7" ht="18" customHeight="1">
      <c r="A7" s="10" t="inlineStr">
        <is>
          <t>C7 惠州</t>
        </is>
      </c>
      <c r="B7" s="11" t="n">
        <v>60</v>
      </c>
      <c r="C7" s="11" t="n">
        <v>10.1</v>
      </c>
      <c r="D7" s="11" t="n">
        <v>3.8</v>
      </c>
      <c r="E7" s="11" t="n">
        <v>23.2</v>
      </c>
      <c r="F7" s="11" t="n">
        <v>24</v>
      </c>
      <c r="G7" s="11" t="n">
        <v>21</v>
      </c>
      <c r="H7" s="11" t="n">
        <v>35</v>
      </c>
      <c r="I7" s="11" t="n">
        <v>24</v>
      </c>
      <c r="J7" s="11" t="n">
        <v>2018</v>
      </c>
      <c r="K7" s="11" t="n">
        <v>33</v>
      </c>
      <c r="L7" s="11" t="n">
        <v>120</v>
      </c>
    </row>
    <row r="8" ht="18" customHeight="1">
      <c r="A8" s="10" t="inlineStr">
        <is>
          <t>C8 威海</t>
        </is>
      </c>
      <c r="B8" s="11" t="n">
        <v>65</v>
      </c>
      <c r="C8" s="11" t="n">
        <v>9</v>
      </c>
      <c r="D8" s="11" t="n">
        <v>3.5</v>
      </c>
      <c r="E8" s="11" t="n">
        <v>19.2</v>
      </c>
      <c r="F8" s="11" t="n">
        <v>26</v>
      </c>
      <c r="G8" s="11" t="n">
        <v>18</v>
      </c>
      <c r="H8" s="11" t="n">
        <v>35</v>
      </c>
      <c r="I8" s="11" t="n">
        <v>20</v>
      </c>
      <c r="J8" s="11" t="n">
        <v>2021</v>
      </c>
      <c r="K8" s="11" t="n">
        <v>27</v>
      </c>
      <c r="L8" s="11" t="n">
        <v>40</v>
      </c>
    </row>
    <row r="9" ht="18" customHeight="1">
      <c r="A9" s="12" t="inlineStr">
        <is>
          <t>C1 徐州</t>
        </is>
      </c>
      <c r="B9" s="13" t="n">
        <v>58</v>
      </c>
      <c r="C9" s="13" t="n">
        <v>10.5</v>
      </c>
      <c r="D9" s="13" t="n">
        <v>4</v>
      </c>
      <c r="E9" s="13" t="n">
        <v>25</v>
      </c>
      <c r="F9" s="13" t="n">
        <v>22</v>
      </c>
      <c r="G9" s="13" t="n">
        <v>15</v>
      </c>
      <c r="H9" s="13" t="n">
        <v>38</v>
      </c>
      <c r="I9" s="13" t="n">
        <v>23</v>
      </c>
      <c r="J9" s="13" t="n">
        <v>2019</v>
      </c>
      <c r="K9" s="13" t="n">
        <v>32</v>
      </c>
      <c r="L9" s="13" t="n">
        <v>110</v>
      </c>
    </row>
    <row r="10" ht="18" customHeight="1">
      <c r="A10" s="12" t="inlineStr">
        <is>
          <t>C2 南昌</t>
        </is>
      </c>
      <c r="B10" s="13" t="n">
        <v>55</v>
      </c>
      <c r="C10" s="13" t="n">
        <v>9.800000000000001</v>
      </c>
      <c r="D10" s="13" t="n">
        <v>4.3</v>
      </c>
      <c r="E10" s="13" t="n">
        <v>27.5</v>
      </c>
      <c r="F10" s="13" t="n">
        <v>19</v>
      </c>
      <c r="G10" s="13" t="n">
        <v>16</v>
      </c>
      <c r="H10" s="13" t="n">
        <v>37</v>
      </c>
      <c r="I10" s="13" t="n">
        <v>25</v>
      </c>
      <c r="J10" s="13" t="n">
        <v>2020</v>
      </c>
      <c r="K10" s="13" t="n">
        <v>28</v>
      </c>
      <c r="L10" s="13" t="n">
        <v>85</v>
      </c>
    </row>
    <row r="11" ht="18" customHeight="1">
      <c r="A11" s="12" t="inlineStr">
        <is>
          <t>C6 南宁</t>
        </is>
      </c>
      <c r="B11" s="13" t="n">
        <v>53</v>
      </c>
      <c r="C11" s="13" t="n">
        <v>10</v>
      </c>
      <c r="D11" s="13" t="n">
        <v>4.1</v>
      </c>
      <c r="E11" s="13" t="n">
        <v>26.6</v>
      </c>
      <c r="F11" s="13" t="n">
        <v>20</v>
      </c>
      <c r="G11" s="13" t="n">
        <v>14</v>
      </c>
      <c r="H11" s="13" t="n">
        <v>39</v>
      </c>
      <c r="I11" s="13" t="n">
        <v>24</v>
      </c>
      <c r="J11" s="13" t="n">
        <v>2019</v>
      </c>
      <c r="K11" s="13" t="n">
        <v>30</v>
      </c>
      <c r="L11" s="13" t="n">
        <v>95</v>
      </c>
    </row>
    <row r="12" ht="18" customHeight="1">
      <c r="A12" s="12" t="inlineStr">
        <is>
          <t>C5 宜昌</t>
        </is>
      </c>
      <c r="B12" s="13" t="n">
        <v>52</v>
      </c>
      <c r="C12" s="13" t="n">
        <v>9.5</v>
      </c>
      <c r="D12" s="13" t="n">
        <v>4.2</v>
      </c>
      <c r="E12" s="13" t="n">
        <v>26.3</v>
      </c>
      <c r="F12" s="13" t="n">
        <v>18</v>
      </c>
      <c r="G12" s="13" t="n">
        <v>13</v>
      </c>
      <c r="H12" s="13" t="n">
        <v>36</v>
      </c>
      <c r="I12" s="13" t="n">
        <v>26</v>
      </c>
      <c r="J12" s="13" t="n">
        <v>2021</v>
      </c>
      <c r="K12" s="13" t="n">
        <v>24</v>
      </c>
      <c r="L12" s="13" t="n">
        <v>45</v>
      </c>
    </row>
    <row r="13" ht="18" customHeight="1">
      <c r="A13" s="14" t="inlineStr">
        <is>
          <t>C4 洛阳</t>
        </is>
      </c>
      <c r="B13" s="15" t="n">
        <v>50</v>
      </c>
      <c r="C13" s="15" t="n">
        <v>10.8</v>
      </c>
      <c r="D13" s="15" t="n">
        <v>4.4</v>
      </c>
      <c r="E13" s="15" t="n">
        <v>30.4</v>
      </c>
      <c r="F13" s="15" t="n">
        <v>17</v>
      </c>
      <c r="G13" s="15" t="n">
        <v>12</v>
      </c>
      <c r="H13" s="15" t="n">
        <v>40</v>
      </c>
      <c r="I13" s="15" t="n">
        <v>26</v>
      </c>
      <c r="J13" s="15" t="n">
        <v>2020</v>
      </c>
      <c r="K13" s="15" t="n">
        <v>26</v>
      </c>
      <c r="L13" s="15" t="n">
        <v>70</v>
      </c>
    </row>
    <row r="14" ht="18" customHeight="1">
      <c r="A14" s="14" t="inlineStr">
        <is>
          <t>C9 桂林</t>
        </is>
      </c>
      <c r="B14" s="15" t="n">
        <v>48</v>
      </c>
      <c r="C14" s="15" t="n">
        <v>10.7</v>
      </c>
      <c r="D14" s="15" t="n">
        <v>4.6</v>
      </c>
      <c r="E14" s="15" t="n">
        <v>31.9</v>
      </c>
      <c r="F14" s="15" t="n">
        <v>16</v>
      </c>
      <c r="G14" s="15" t="n">
        <v>12</v>
      </c>
      <c r="H14" s="15" t="n">
        <v>41</v>
      </c>
      <c r="I14" s="15" t="n">
        <v>27</v>
      </c>
      <c r="J14" s="15" t="n">
        <v>2022</v>
      </c>
      <c r="K14" s="15" t="n">
        <v>22</v>
      </c>
      <c r="L14" s="15" t="n">
        <v>35</v>
      </c>
    </row>
    <row r="15" ht="18" customHeight="1">
      <c r="A15" s="14" t="inlineStr">
        <is>
          <t>C10 赣州</t>
        </is>
      </c>
      <c r="B15" s="15" t="n">
        <v>45</v>
      </c>
      <c r="C15" s="15" t="n">
        <v>10.9</v>
      </c>
      <c r="D15" s="15" t="n">
        <v>4.9</v>
      </c>
      <c r="E15" s="15" t="n">
        <v>35.3</v>
      </c>
      <c r="F15" s="15" t="n">
        <v>15</v>
      </c>
      <c r="G15" s="15" t="n">
        <v>12</v>
      </c>
      <c r="H15" s="15" t="n">
        <v>37</v>
      </c>
      <c r="I15" s="15" t="n">
        <v>27</v>
      </c>
      <c r="J15" s="15" t="n">
        <v>2022</v>
      </c>
      <c r="K15" s="15" t="n">
        <v>20</v>
      </c>
      <c r="L15" s="15" t="n">
        <v>30</v>
      </c>
    </row>
    <row r="17">
      <c r="A17" s="16" t="inlineStr">
        <is>
          <t>Key Insight: AOV and subsidy efficiency (not fulfillment cost) drive cost/AOV variance</t>
        </is>
      </c>
    </row>
    <row r="18">
      <c r="A18" t="inlineStr">
        <is>
          <t>C8 Weihai: 65 AOV + 9.0 fulfillment = 19.2% cost/AOV (best)</t>
        </is>
      </c>
    </row>
    <row r="19">
      <c r="A19" t="inlineStr">
        <is>
          <t>C10 Ganzhou: 45 AOV + 10.9 fulfillment = 35.3% cost/AOV (worst)</t>
        </is>
      </c>
    </row>
    <row r="20">
      <c r="A20" t="inlineStr">
        <is>
          <t>Same fulfillment cost (~10元); AOV gap = +38% → cost/AOV gap = +13pp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40" customWidth="1" min="5" max="5"/>
  </cols>
  <sheetData>
    <row r="1">
      <c r="A1" s="1" t="inlineStr">
        <is>
          <t>Case Charts — O2O竞争格局关键洞察</t>
        </is>
      </c>
    </row>
    <row r="2">
      <c r="A2" t="inlineStr">
        <is>
          <t>来源: Reports/ (3份case补充信息图) | 日期: 2026-04-30</t>
        </is>
      </c>
    </row>
    <row r="4">
      <c r="A4" s="18" t="inlineStr">
        <is>
          <t>O2O渗透率：市场红利仍在</t>
        </is>
      </c>
    </row>
    <row r="5">
      <c r="A5" s="27" t="inlineStr">
        <is>
          <t>指标</t>
        </is>
      </c>
      <c r="B5" s="27" t="inlineStr">
        <is>
          <t>2020年</t>
        </is>
      </c>
      <c r="C5" s="27" t="inlineStr">
        <is>
          <t>当前</t>
        </is>
      </c>
      <c r="D5" s="27" t="inlineStr">
        <is>
          <t>变化</t>
        </is>
      </c>
      <c r="E5" s="27" t="inlineStr">
        <is>
          <t>战略含义</t>
        </is>
      </c>
    </row>
    <row r="6">
      <c r="A6" s="28" t="inlineStr">
        <is>
          <t>O2O在零售消费中的渗透率</t>
        </is>
      </c>
      <c r="B6" s="29" t="inlineStr">
        <is>
          <t>26%</t>
        </is>
      </c>
      <c r="C6" s="29" t="inlineStr">
        <is>
          <t>50%</t>
        </is>
      </c>
      <c r="D6" s="29" t="inlineStr">
        <is>
          <t>+24pp</t>
        </is>
      </c>
      <c r="E6" s="29" t="inlineStr">
        <is>
          <t>即时零售已是半壁江山；市场不是问题，单位经济是问题</t>
        </is>
      </c>
    </row>
    <row r="8">
      <c r="A8" s="18" t="inlineStr">
        <is>
          <t>即时零售双核竞争模式</t>
        </is>
      </c>
    </row>
    <row r="9">
      <c r="A9" s="9" t="inlineStr">
        <is>
          <t>竞争模式</t>
        </is>
      </c>
      <c r="B9" s="9" t="inlineStr">
        <is>
          <t>代表品牌</t>
        </is>
      </c>
      <c r="C9" s="9" t="inlineStr">
        <is>
          <t>商业模式</t>
        </is>
      </c>
      <c r="D9" s="9" t="inlineStr">
        <is>
          <t>核心指标</t>
        </is>
      </c>
      <c r="E9" s="9" t="inlineStr">
        <is>
          <t>Instant Retail关系</t>
        </is>
      </c>
    </row>
    <row r="10" ht="40" customHeight="1">
      <c r="A10" s="19" t="inlineStr">
        <is>
          <t>前置仓（自营）</t>
        </is>
      </c>
      <c r="B10" s="19" t="inlineStr">
        <is>
          <t>叮咚买菜、朴朴、小象超市</t>
        </is>
      </c>
      <c r="C10" s="19" t="inlineStr">
        <is>
          <t>买断式自营；平台承担库存和损耗</t>
        </is>
      </c>
      <c r="D10" s="19" t="inlineStr">
        <is>
          <t>CAGR 30%；品类：生鲜/食品深度</t>
        </is>
      </c>
      <c r="E10" s="19" t="inlineStr">
        <is>
          <t>品类重叠度**低于**闪电仓；但在快速补货场景有竞争</t>
        </is>
      </c>
    </row>
    <row r="11" ht="40" customHeight="1">
      <c r="A11" s="30" t="inlineStr">
        <is>
          <t>闪电仓（平台）</t>
        </is>
      </c>
      <c r="B11" s="30" t="inlineStr">
        <is>
          <t>美团闪购、淘宝闪购、京东秒送</t>
        </is>
      </c>
      <c r="C11" s="30" t="inlineStr">
        <is>
          <t>平台合作式；连接商家库存</t>
        </is>
      </c>
      <c r="D11" s="30" t="inlineStr">
        <is>
          <t>SKU 3,000-10,000个；覆盖30K→100K仓库</t>
        </is>
      </c>
      <c r="E11" s="30" t="inlineStr">
        <is>
          <t>Instant Retail**主要竞争对手**——同在快速补货和夜间/懒人场景直接竞争</t>
        </is>
      </c>
    </row>
    <row r="12" ht="40" customHeight="1">
      <c r="A12" s="21" t="inlineStr">
        <is>
          <t>线下超市</t>
        </is>
      </c>
      <c r="B12" s="21" t="inlineStr">
        <is>
          <t>沃尔玛、华润、大润发、便利店</t>
        </is>
      </c>
      <c r="C12" s="21" t="inlineStr">
        <is>
          <t>传统线下门店</t>
        </is>
      </c>
      <c r="D12" s="21" t="inlineStr">
        <is>
          <t>占订单60-70%</t>
        </is>
      </c>
      <c r="E12" s="21" t="inlineStr">
        <is>
          <t>**真正的替代竞争对手**——即时配送差异化vs线下便捷性</t>
        </is>
      </c>
    </row>
    <row r="14">
      <c r="A14" s="18" t="inlineStr">
        <is>
          <t>6大消费场景（渠道竞争矩阵）</t>
        </is>
      </c>
    </row>
    <row r="15">
      <c r="A15" s="31" t="inlineStr">
        <is>
          <t>场景</t>
        </is>
      </c>
      <c r="B15" s="31" t="inlineStr">
        <is>
          <t>购物任务</t>
        </is>
      </c>
      <c r="C15" s="31" t="inlineStr">
        <is>
          <t>渠道</t>
        </is>
      </c>
      <c r="D15" s="31" t="inlineStr">
        <is>
          <t>Instant Retail机会</t>
        </is>
      </c>
    </row>
    <row r="16" ht="28" customHeight="1">
      <c r="A16" s="5" t="inlineStr">
        <is>
          <t>快速补货</t>
        </is>
      </c>
      <c r="B16" s="5" t="inlineStr">
        <is>
          <t>计划性</t>
        </is>
      </c>
      <c r="C16" s="5" t="inlineStr">
        <is>
          <t>O2O</t>
        </is>
      </c>
      <c r="D16" s="5" t="inlineStr">
        <is>
          <t>核心场景——30分钟配送差异化最高；大超合作提升AOV</t>
        </is>
      </c>
    </row>
    <row r="17" ht="28" customHeight="1">
      <c r="A17" s="5" t="inlineStr">
        <is>
          <t>夜间/懒人/急用</t>
        </is>
      </c>
      <c r="B17" s="5" t="inlineStr">
        <is>
          <t>非计划性</t>
        </is>
      </c>
      <c r="C17" s="5" t="inlineStr">
        <is>
          <t>O2O</t>
        </is>
      </c>
      <c r="D17" s="5" t="inlineStr">
        <is>
          <t>高价值场景——即时需求溢价高；补贴精准化最佳场景</t>
        </is>
      </c>
    </row>
    <row r="18" ht="28" customHeight="1">
      <c r="A18" s="5" t="inlineStr">
        <is>
          <t>超便捷</t>
        </is>
      </c>
      <c r="B18" s="5" t="inlineStr">
        <is>
          <t>非计划性</t>
        </is>
      </c>
      <c r="C18" s="5" t="inlineStr">
        <is>
          <t>线下</t>
        </is>
      </c>
      <c r="D18" s="5" t="inlineStr">
        <is>
          <t>线下主导——Instant Retail渗透困难；避免在此场景打补贴战</t>
        </is>
      </c>
    </row>
    <row r="19" ht="28" customHeight="1">
      <c r="A19" s="5" t="inlineStr">
        <is>
          <t>一站式购物</t>
        </is>
      </c>
      <c r="B19" s="5" t="inlineStr">
        <is>
          <t>计划性</t>
        </is>
      </c>
      <c r="C19" s="5" t="inlineStr">
        <is>
          <t>线下</t>
        </is>
      </c>
      <c r="D19" s="5" t="inlineStr">
        <is>
          <t>线下主导——Instant Retail不适合替代；收缩</t>
        </is>
      </c>
    </row>
    <row r="20" ht="28" customHeight="1">
      <c r="A20" s="5" t="inlineStr">
        <is>
          <t>长尾急用</t>
        </is>
      </c>
      <c r="B20" s="5" t="inlineStr">
        <is>
          <t>计划性</t>
        </is>
      </c>
      <c r="C20" s="5" t="inlineStr">
        <is>
          <t>线上</t>
        </is>
      </c>
      <c r="D20" s="5" t="inlineStr">
        <is>
          <t>线上主导——快递次日达 vs 30分钟即时需求不同</t>
        </is>
      </c>
    </row>
    <row r="21" ht="28" customHeight="1">
      <c r="A21" s="5" t="inlineStr">
        <is>
          <t>冲动尝鲜</t>
        </is>
      </c>
      <c r="B21" s="5" t="inlineStr">
        <is>
          <t>非计划性</t>
        </is>
      </c>
      <c r="C21" s="5" t="inlineStr">
        <is>
          <t>线上</t>
        </is>
      </c>
      <c r="D21" s="5" t="inlineStr">
        <is>
          <t>兴趣电商主导——Instant Retail无优势</t>
        </is>
      </c>
    </row>
    <row r="23">
      <c r="A23" s="18" t="inlineStr">
        <is>
          <t>核心战略洞察</t>
        </is>
      </c>
    </row>
    <row r="24" ht="30" customHeight="1">
      <c r="A24" s="32" t="inlineStr">
        <is>
          <t>1. 即时零售的价值主张是"30分钟配送"（vs线下：更便捷；vs纯线上：更快），不是"更便宜"</t>
        </is>
      </c>
    </row>
    <row r="25" ht="30" customHeight="1">
      <c r="A25" s="32" t="inlineStr">
        <is>
          <t>2. 若补贴用于与线下超市比价格，则补贴永远不能停——战略方向应是从"价格竞争"转向"服务差异化"</t>
        </is>
      </c>
    </row>
    <row r="26" ht="30" customHeight="1">
      <c r="A26" s="32" t="inlineStr">
        <is>
          <t>3. 美团2023年已转向盈利优先，2019-2021年大规模补贴战已过——三四线城市竞争窗口期仍在</t>
        </is>
      </c>
    </row>
    <row r="27" ht="30" customHeight="1">
      <c r="A27" s="32" t="inlineStr">
        <is>
          <t>4. 线下超市（60-70%订单）才是真正的替代竞争对手——Instant Retail的差异化是30分钟 vs 线下"亲自到店"</t>
        </is>
      </c>
    </row>
    <row r="28" ht="30" customHeight="1">
      <c r="A28" s="32" t="inlineStr">
        <is>
          <t>5. 前置仓（自营）vs 闪电仓（平台）的竞争格局意味着：Instant Retail不需要在所有品类与前置仓竞争，只需在自己的核心场景（快速补货/夜间）建立壁垒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6" customWidth="1" min="4" max="4"/>
    <col width="20" customWidth="1" min="5" max="5"/>
    <col width="28" customWidth="1" min="6" max="6"/>
    <col width="32" customWidth="1" min="7" max="7"/>
  </cols>
  <sheetData>
    <row r="1">
      <c r="A1" s="8" t="inlineStr">
        <is>
          <t>AX-A2: Three Priority Cities Profit Paths + Weihai Model Replicability</t>
        </is>
      </c>
    </row>
    <row r="2">
      <c r="A2" t="inlineStr">
        <is>
          <t>Note: Merged AX-A5 (Weihai replicability) per Partner revision | Source: 01-problem-definition.md</t>
        </is>
      </c>
    </row>
    <row r="3">
      <c r="A3" t="inlineStr">
        <is>
          <t>Questions: (1) How does each of 3 cities achieve EBIT+? (2) Can Weihai model replicate?</t>
        </is>
      </c>
    </row>
    <row r="5">
      <c r="A5" s="9" t="inlineStr">
        <is>
          <t>City</t>
        </is>
      </c>
      <c r="B5" s="9" t="inlineStr">
        <is>
          <t>EBIT Driver</t>
        </is>
      </c>
      <c r="C5" s="9" t="inlineStr">
        <is>
          <t>AOV</t>
        </is>
      </c>
      <c r="D5" s="9" t="inlineStr">
        <is>
          <t>Fulfillment</t>
        </is>
      </c>
      <c r="E5" s="9" t="inlineStr">
        <is>
          <t>Subsidy</t>
        </is>
      </c>
      <c r="F5" s="9" t="inlineStr">
        <is>
          <t>Cost/AOV</t>
        </is>
      </c>
      <c r="G5" s="9" t="inlineStr">
        <is>
          <t>HV User %</t>
        </is>
      </c>
      <c r="H5" s="9" t="inlineStr">
        <is>
          <t>Large Super %</t>
        </is>
      </c>
      <c r="I5" s="9" t="inlineStr">
        <is>
          <t>Open Year</t>
        </is>
      </c>
      <c r="J5" s="9" t="inlineStr">
        <is>
          <t>Mkt Share %</t>
        </is>
      </c>
      <c r="K5" s="9" t="inlineStr">
        <is>
          <t>Key Insight</t>
        </is>
      </c>
    </row>
    <row r="6" ht="35" customHeight="1">
      <c r="A6" s="5" t="inlineStr">
        <is>
          <t>C3 泉州</t>
        </is>
      </c>
      <c r="B6" s="17" t="inlineStr">
        <is>
          <t>Large Super Depth</t>
        </is>
      </c>
      <c r="C6" s="5" t="n">
        <v>62</v>
      </c>
      <c r="D6" s="5" t="n">
        <v>10.2</v>
      </c>
      <c r="E6" s="5" t="n">
        <v>3.5</v>
      </c>
      <c r="F6" s="5" t="inlineStr">
        <is>
          <t>22.1%</t>
        </is>
      </c>
      <c r="G6" s="5" t="n">
        <v>25</v>
      </c>
      <c r="H6" s="5" t="n">
        <v>23</v>
      </c>
      <c r="I6" s="5" t="n">
        <v>2018</v>
      </c>
      <c r="J6" s="5" t="n">
        <v>35</v>
      </c>
      <c r="K6" s="5" t="inlineStr">
        <is>
          <t>23% large super = lowest pick cost + stable supply chain</t>
        </is>
      </c>
    </row>
    <row r="7" ht="35" customHeight="1">
      <c r="A7" s="5" t="inlineStr">
        <is>
          <t>C7 惠州</t>
        </is>
      </c>
      <c r="B7" s="17" t="inlineStr">
        <is>
          <t>Scale Effect</t>
        </is>
      </c>
      <c r="C7" s="5" t="n">
        <v>60</v>
      </c>
      <c r="D7" s="5" t="n">
        <v>10.1</v>
      </c>
      <c r="E7" s="5" t="n">
        <v>3.8</v>
      </c>
      <c r="F7" s="5" t="inlineStr">
        <is>
          <t>23.2%</t>
        </is>
      </c>
      <c r="G7" s="5" t="n">
        <v>24</v>
      </c>
      <c r="H7" s="5" t="n">
        <v>21</v>
      </c>
      <c r="I7" s="5" t="n">
        <v>2018</v>
      </c>
      <c r="J7" s="5" t="n">
        <v>33</v>
      </c>
      <c r="K7" s="5" t="inlineStr">
        <is>
          <t>130k orders/day = highest density in portfolio</t>
        </is>
      </c>
    </row>
    <row r="8" ht="35" customHeight="1">
      <c r="A8" s="5" t="inlineStr">
        <is>
          <t>C8 威海</t>
        </is>
      </c>
      <c r="B8" s="17" t="inlineStr">
        <is>
          <t>High AOV + Low Fulfillment</t>
        </is>
      </c>
      <c r="C8" s="5" t="n">
        <v>65</v>
      </c>
      <c r="D8" s="5" t="n">
        <v>9</v>
      </c>
      <c r="E8" s="5" t="n">
        <v>3.5</v>
      </c>
      <c r="F8" s="5" t="inlineStr">
        <is>
          <t>19.2%</t>
        </is>
      </c>
      <c r="G8" s="5" t="n">
        <v>26</v>
      </c>
      <c r="H8" s="5" t="n">
        <v>18</v>
      </c>
      <c r="I8" s="5" t="n">
        <v>2021</v>
      </c>
      <c r="J8" s="5" t="n">
        <v>27</v>
      </c>
      <c r="K8" s="5" t="inlineStr">
        <is>
          <t>Best-in-class: 65 AOV + 9.0元 fulfillment (only city)</t>
        </is>
      </c>
    </row>
    <row r="10">
      <c r="A10" s="18" t="inlineStr">
        <is>
          <t>Weihai Model Replicability Assessment</t>
        </is>
      </c>
    </row>
    <row r="11">
      <c r="A11" s="9" t="inlineStr">
        <is>
          <t>City</t>
        </is>
      </c>
      <c r="B11" s="9" t="inlineStr">
        <is>
          <t>Weihai-Fit</t>
        </is>
      </c>
      <c r="C11" s="9" t="inlineStr">
        <is>
          <t>AOV Gap (元)</t>
        </is>
      </c>
      <c r="D11" s="9" t="inlineStr">
        <is>
          <t>Fulfillment Gap</t>
        </is>
      </c>
      <c r="E11" s="9" t="inlineStr">
        <is>
          <t>Short-term Replicable?</t>
        </is>
      </c>
      <c r="F11" s="9" t="inlineStr">
        <is>
          <t>Key Barrier</t>
        </is>
      </c>
      <c r="G11" s="9" t="inlineStr">
        <is>
          <t>Priority Action</t>
        </is>
      </c>
    </row>
    <row r="12" ht="35" customHeight="1">
      <c r="A12" s="19" t="inlineStr">
        <is>
          <t>C7 惠州</t>
        </is>
      </c>
      <c r="B12" s="19" t="inlineStr">
        <is>
          <t>High</t>
        </is>
      </c>
      <c r="C12" s="19" t="inlineStr">
        <is>
          <t>-5 (60 vs 65)</t>
        </is>
      </c>
      <c r="D12" s="19" t="inlineStr">
        <is>
          <t>-0.1</t>
        </is>
      </c>
      <c r="E12" s="19" t="inlineStr">
        <is>
          <t>Yes — closest to Weihai</t>
        </is>
      </c>
      <c r="F12" s="19" t="inlineStr">
        <is>
          <t>Large super 21% vs 18% — need to widen gap</t>
        </is>
      </c>
      <c r="G12" s="19" t="inlineStr">
        <is>
          <t>Deepen large super partnerships; already 60 AOV</t>
        </is>
      </c>
    </row>
    <row r="13" ht="35" customHeight="1">
      <c r="A13" s="19" t="inlineStr">
        <is>
          <t>C1 徐州</t>
        </is>
      </c>
      <c r="B13" s="19" t="inlineStr">
        <is>
          <t>Medium</t>
        </is>
      </c>
      <c r="C13" s="19" t="inlineStr">
        <is>
          <t>-7 (58 vs 65)</t>
        </is>
      </c>
      <c r="D13" s="19" t="inlineStr">
        <is>
          <t>+1.5</t>
        </is>
      </c>
      <c r="E13" s="19" t="inlineStr">
        <is>
          <t>Partial</t>
        </is>
      </c>
      <c r="F13" s="19" t="inlineStr">
        <is>
          <t>Large super only 15% — lowest in portfolio</t>
        </is>
      </c>
      <c r="G13" s="19" t="inlineStr">
        <is>
          <t>Increase到家快消 mix; push large super to 18%+</t>
        </is>
      </c>
    </row>
    <row r="14" ht="35" customHeight="1">
      <c r="A14" s="20" t="inlineStr">
        <is>
          <t>C2 南昌</t>
        </is>
      </c>
      <c r="B14" s="20" t="inlineStr">
        <is>
          <t>Medium</t>
        </is>
      </c>
      <c r="C14" s="20" t="inlineStr">
        <is>
          <t>-10 (55 vs 65)</t>
        </is>
      </c>
      <c r="D14" s="20" t="inlineStr">
        <is>
          <t>+0.8</t>
        </is>
      </c>
      <c r="E14" s="20" t="inlineStr">
        <is>
          <t>Partial — needs time</t>
        </is>
      </c>
      <c r="F14" s="20" t="inlineStr">
        <is>
          <t>AOV too low; category mix mid-table</t>
        </is>
      </c>
      <c r="G14" s="20" t="inlineStr">
        <is>
          <t>Shift toward到家快消; increase large super 16%→18%</t>
        </is>
      </c>
    </row>
    <row r="15" ht="35" customHeight="1">
      <c r="A15" s="20" t="inlineStr">
        <is>
          <t>C6 南宁</t>
        </is>
      </c>
      <c r="B15" s="20" t="inlineStr">
        <is>
          <t>Low-Med</t>
        </is>
      </c>
      <c r="C15" s="20" t="inlineStr">
        <is>
          <t>-12 (53 vs 65)</t>
        </is>
      </c>
      <c r="D15" s="20" t="inlineStr">
        <is>
          <t>+1.0</t>
        </is>
      </c>
      <c r="E15" s="20" t="inlineStr">
        <is>
          <t>Difficult short-term</t>
        </is>
      </c>
      <c r="F15" s="20" t="inlineStr">
        <is>
          <t>生鲜偏高 39%; large super only 14%</t>
        </is>
      </c>
      <c r="G15" s="20" t="inlineStr">
        <is>
          <t>Reduce生鲜 share; add large super partnerships</t>
        </is>
      </c>
    </row>
    <row r="16" ht="35" customHeight="1">
      <c r="A16" s="20" t="inlineStr">
        <is>
          <t>C5 宜昌</t>
        </is>
      </c>
      <c r="B16" s="20" t="inlineStr">
        <is>
          <t>Low-Med</t>
        </is>
      </c>
      <c r="C16" s="20" t="inlineStr">
        <is>
          <t>-13 (52 vs 65)</t>
        </is>
      </c>
      <c r="D16" s="20" t="inlineStr">
        <is>
          <t>+0.5</t>
        </is>
      </c>
      <c r="E16" s="20" t="inlineStr">
        <is>
          <t>Marginal</t>
        </is>
      </c>
      <c r="F16" s="20" t="inlineStr">
        <is>
          <t>体量小 45k; not worth major investment now</t>
        </is>
      </c>
      <c r="G16" s="20" t="inlineStr">
        <is>
          <t>Monitor only; re-evaluate in 12 months</t>
        </is>
      </c>
    </row>
    <row r="17" ht="35" customHeight="1">
      <c r="A17" s="21" t="inlineStr">
        <is>
          <t>C4 洛阳</t>
        </is>
      </c>
      <c r="B17" s="21" t="inlineStr">
        <is>
          <t>Low</t>
        </is>
      </c>
      <c r="C17" s="21" t="inlineStr">
        <is>
          <t>-15 (50 vs 65)</t>
        </is>
      </c>
      <c r="D17" s="21" t="inlineStr">
        <is>
          <t>+1.8</t>
        </is>
      </c>
      <c r="E17" s="21" t="inlineStr">
        <is>
          <t>Not replicable</t>
        </is>
      </c>
      <c r="F17" s="21" t="inlineStr">
        <is>
          <t>Highest fulfillment cost (10.8); large super 12%</t>
        </is>
      </c>
      <c r="G17" s="21" t="inlineStr">
        <is>
          <t>Fix fulfillment first (density issue)</t>
        </is>
      </c>
    </row>
    <row r="18" ht="35" customHeight="1">
      <c r="A18" s="21" t="inlineStr">
        <is>
          <t>C9 桂林</t>
        </is>
      </c>
      <c r="B18" s="21" t="inlineStr">
        <is>
          <t>Low</t>
        </is>
      </c>
      <c r="C18" s="21" t="inlineStr">
        <is>
          <t>-17 (48 vs 65)</t>
        </is>
      </c>
      <c r="D18" s="21" t="inlineStr">
        <is>
          <t>+1.7</t>
        </is>
      </c>
      <c r="E18" s="21" t="inlineStr">
        <is>
          <t>Not replicable</t>
        </is>
      </c>
      <c r="F18" s="21" t="inlineStr">
        <is>
          <t>New city 2022; lowest AOV tier</t>
        </is>
      </c>
      <c r="G18" s="21" t="inlineStr">
        <is>
          <t>Consider exit or light-asset pivot</t>
        </is>
      </c>
    </row>
    <row r="19" ht="35" customHeight="1">
      <c r="A19" s="21" t="inlineStr">
        <is>
          <t>C10 赣州</t>
        </is>
      </c>
      <c r="B19" s="21" t="inlineStr">
        <is>
          <t>Lowest</t>
        </is>
      </c>
      <c r="C19" s="21" t="inlineStr">
        <is>
          <t>-20 (45 vs 65)</t>
        </is>
      </c>
      <c r="D19" s="21" t="inlineStr">
        <is>
          <t>+1.9</t>
        </is>
      </c>
      <c r="E19" s="21" t="inlineStr">
        <is>
          <t>Not replicable</t>
        </is>
      </c>
      <c r="F19" s="21" t="inlineStr">
        <is>
          <t>Lowest AOV; lowest HV%; most structural issues</t>
        </is>
      </c>
      <c r="G19" s="21" t="inlineStr">
        <is>
          <t>Recommend partial收缩; not worth major investment</t>
        </is>
      </c>
    </row>
    <row r="21">
      <c r="A21" s="22" t="inlineStr">
        <is>
          <t>Key Insight: Three cities, three paths. The replicable model is NOT one playbook — it is knowing which playbook to apply to which city.</t>
        </is>
      </c>
    </row>
    <row r="22">
      <c r="A22" t="inlineStr">
        <is>
          <t>Most replicable: C7 (Huizhou) — high AOV, scale sufficient, large super gap small</t>
        </is>
      </c>
    </row>
    <row r="23">
      <c r="A23" t="inlineStr">
        <is>
          <t>C1 (Xuzhou): highest leverage if AOV improves 3-5元 via category mix; currently drag from only 15% large super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8" customWidth="1" min="4" max="4"/>
    <col width="18" customWidth="1" min="5" max="5"/>
    <col width="20" customWidth="1" min="6" max="6"/>
    <col width="16" customWidth="1" min="7" max="7"/>
    <col width="18" customWidth="1" min="8" max="8"/>
    <col width="16" customWidth="1" min="9" max="9"/>
  </cols>
  <sheetData>
    <row r="1">
      <c r="A1" s="8" t="inlineStr">
        <is>
          <t>AX-A3: Selective Contraction Cost-Benefit Analysis</t>
        </is>
      </c>
    </row>
    <row r="2">
      <c r="A2" t="inlineStr">
        <is>
          <t>Question: What savings from exiting or shrinking C9/C10/C4/C5?</t>
        </is>
      </c>
    </row>
    <row r="3">
      <c r="A3" t="inlineStr">
        <is>
          <t>Source: 01-problem-definition.md (annual loss estimates, CSO-provided) | NOTE: Loss figures are estimated, not actuals</t>
        </is>
      </c>
    </row>
    <row r="5">
      <c r="A5" s="9" t="inlineStr">
        <is>
          <t>City</t>
        </is>
      </c>
      <c r="B5" s="9" t="inlineStr">
        <is>
          <t>Daily Orders (k)</t>
        </is>
      </c>
      <c r="C5" s="9" t="inlineStr">
        <is>
          <t>Annual Loss (万)</t>
        </is>
      </c>
      <c r="D5" s="9" t="inlineStr">
        <is>
          <t>Fixed Cost Share (est.)</t>
        </is>
      </c>
      <c r="E5" s="9" t="inlineStr">
        <is>
          <t>Subsidy Annual (万)</t>
        </is>
      </c>
      <c r="F5" s="9" t="inlineStr">
        <is>
          <t>Full Exit Savings (万)</t>
        </is>
      </c>
      <c r="G5" s="9" t="inlineStr">
        <is>
          <t>Partial Exit (万)</t>
        </is>
      </c>
      <c r="H5" s="9" t="inlineStr">
        <is>
          <t>Recommended</t>
        </is>
      </c>
      <c r="I5" s="9" t="inlineStr">
        <is>
          <t>Timeline</t>
        </is>
      </c>
    </row>
    <row r="6" ht="28" customHeight="1">
      <c r="A6" s="5" t="inlineStr">
        <is>
          <t>C9 桂林</t>
        </is>
      </c>
      <c r="B6" s="5" t="n">
        <v>35</v>
      </c>
      <c r="C6" s="5" t="n">
        <v>1300</v>
      </c>
      <c r="D6" s="5" t="inlineStr">
        <is>
          <t>~30%</t>
        </is>
      </c>
      <c r="E6" s="5" t="n">
        <v>570</v>
      </c>
      <c r="F6" s="5" t="n">
        <v>700</v>
      </c>
      <c r="G6" s="5" t="n">
        <v>400</v>
      </c>
      <c r="H6" s="5" t="inlineStr">
        <is>
          <t>Evaluate 12-18mth</t>
        </is>
      </c>
      <c r="I6" s="5" t="inlineStr">
        <is>
          <t>12-18 months</t>
        </is>
      </c>
    </row>
    <row r="7" ht="28" customHeight="1">
      <c r="A7" s="5" t="inlineStr">
        <is>
          <t>C10 赣州</t>
        </is>
      </c>
      <c r="B7" s="5" t="n">
        <v>30</v>
      </c>
      <c r="C7" s="5" t="n">
        <v>1500</v>
      </c>
      <c r="D7" s="5" t="inlineStr">
        <is>
          <t>~25%</t>
        </is>
      </c>
      <c r="E7" s="5" t="n">
        <v>530</v>
      </c>
      <c r="F7" s="5" t="n">
        <v>700</v>
      </c>
      <c r="G7" s="5" t="n">
        <v>400</v>
      </c>
      <c r="H7" s="5" t="inlineStr">
        <is>
          <t>Selective shrink</t>
        </is>
      </c>
      <c r="I7" s="5" t="inlineStr">
        <is>
          <t>6-12 months</t>
        </is>
      </c>
    </row>
    <row r="8" ht="28" customHeight="1">
      <c r="A8" s="5" t="inlineStr">
        <is>
          <t>C4 洛阳</t>
        </is>
      </c>
      <c r="B8" s="5" t="n">
        <v>70</v>
      </c>
      <c r="C8" s="5" t="n">
        <v>2200</v>
      </c>
      <c r="D8" s="5" t="inlineStr">
        <is>
          <t>~40%</t>
        </is>
      </c>
      <c r="E8" s="5" t="n">
        <v>1120</v>
      </c>
      <c r="F8" s="5" t="n">
        <v>1000</v>
      </c>
      <c r="G8" s="5" t="n">
        <v>600</v>
      </c>
      <c r="H8" s="5" t="inlineStr">
        <is>
          <t>Evaluate — verify fixed cost</t>
        </is>
      </c>
      <c r="I8" s="5" t="inlineStr">
        <is>
          <t>12-18 months</t>
        </is>
      </c>
    </row>
    <row r="9" ht="28" customHeight="1">
      <c r="A9" s="5" t="inlineStr">
        <is>
          <t>C5 宜昌</t>
        </is>
      </c>
      <c r="B9" s="5" t="n">
        <v>45</v>
      </c>
      <c r="C9" s="5" t="n">
        <v>1200</v>
      </c>
      <c r="D9" s="5" t="inlineStr">
        <is>
          <t>~35%</t>
        </is>
      </c>
      <c r="E9" s="5" t="n">
        <v>690</v>
      </c>
      <c r="F9" s="5" t="n">
        <v>800</v>
      </c>
      <c r="G9" s="5" t="n">
        <v>450</v>
      </c>
      <c r="H9" s="5" t="inlineStr">
        <is>
          <t>Selective shrink</t>
        </is>
      </c>
      <c r="I9" s="5" t="inlineStr">
        <is>
          <t>6-12 months</t>
        </is>
      </c>
    </row>
    <row r="10">
      <c r="A10" s="23" t="inlineStr">
        <is>
          <t>TOTAL (4 cities)</t>
        </is>
      </c>
      <c r="B10" s="23">
        <f>SUM(B6:B9)</f>
        <v/>
      </c>
      <c r="C10" s="23">
        <f>SUM(C6:C9)</f>
        <v/>
      </c>
      <c r="D10" s="23" t="n"/>
      <c r="E10" s="23">
        <f>SUM(E6:E9)</f>
        <v/>
      </c>
      <c r="F10" s="23">
        <f>SUM(F6:F9)</f>
        <v/>
      </c>
      <c r="G10" s="23">
        <f>SUM(G6:G9)</f>
        <v/>
      </c>
      <c r="H10" s="23" t="n"/>
    </row>
    <row r="12">
      <c r="A12" s="18" t="inlineStr">
        <is>
          <t>Scenario Analysis</t>
        </is>
      </c>
    </row>
    <row r="13">
      <c r="A13" s="24" t="inlineStr">
        <is>
          <t>Scenario</t>
        </is>
      </c>
      <c r="B13" s="24" t="inlineStr">
        <is>
          <t>Cities</t>
        </is>
      </c>
      <c r="C13" s="24" t="inlineStr">
        <is>
          <t>Annual Savings (万)</t>
        </is>
      </c>
      <c r="D13" s="24" t="inlineStr">
        <is>
          <t>Notes</t>
        </is>
      </c>
    </row>
    <row r="14" ht="28" customHeight="1">
      <c r="A14" s="6" t="inlineStr">
        <is>
          <t>Aggressive (2 worst)</t>
        </is>
      </c>
      <c r="B14" s="6" t="inlineStr">
        <is>
          <t>C9 + C10 fully</t>
        </is>
      </c>
      <c r="C14" s="6" t="inlineStr">
        <is>
          <t>~1,400</t>
        </is>
      </c>
      <c r="D14" s="6" t="inlineStr">
        <is>
          <t>Highest savings, but loses 2 potential future markets</t>
        </is>
      </c>
    </row>
    <row r="15" ht="28" customHeight="1">
      <c r="A15" s="25" t="inlineStr">
        <is>
          <t>Aggressive+ (4 cities fully)</t>
        </is>
      </c>
      <c r="B15" s="25" t="inlineStr">
        <is>
          <t>C9+C10+C4+C5 fully</t>
        </is>
      </c>
      <c r="C15" s="25" t="inlineStr">
        <is>
          <t>~3,200</t>
        </is>
      </c>
      <c r="D15" s="25" t="inlineStr">
        <is>
          <t>Max savings, but largest fixed cost write-off risk</t>
        </is>
      </c>
    </row>
    <row r="16" ht="28" customHeight="1">
      <c r="A16" s="19" t="inlineStr">
        <is>
          <t>Balanced (recommended)</t>
        </is>
      </c>
      <c r="B16" s="19" t="inlineStr">
        <is>
          <t>4 cities partial收缩</t>
        </is>
      </c>
      <c r="C16" s="19" t="inlineStr">
        <is>
          <t>~1,850</t>
        </is>
      </c>
      <c r="D16" s="19" t="inlineStr">
        <is>
          <t>Preferred: maintains optionality, reduces cash burn</t>
        </is>
      </c>
    </row>
    <row r="17" ht="28" customHeight="1">
      <c r="A17" s="6" t="inlineStr">
        <is>
          <t>Conservative (2 worst partial)</t>
        </is>
      </c>
      <c r="B17" s="6" t="inlineStr">
        <is>
          <t>C9 + C10 partial</t>
        </is>
      </c>
      <c r="C17" s="6" t="inlineStr">
        <is>
          <t>~800</t>
        </is>
      </c>
      <c r="D17" s="6" t="inlineStr">
        <is>
          <t>Minimum viable; keeps strategic optionality</t>
        </is>
      </c>
    </row>
    <row r="19">
      <c r="A19" s="22" t="inlineStr">
        <is>
          <t>Key Insight: Full exit of 2 worst cities saves ~3,000万/年; balanced partial exit of 4 cities saves ~1,850万/年</t>
        </is>
      </c>
    </row>
    <row r="20">
      <c r="A20" t="inlineStr">
        <is>
          <t>Recommendation: Balanced scenario as default. Verify C4 fixed cost structure before committing to full exit.</t>
        </is>
      </c>
    </row>
    <row r="21">
      <c r="A21" t="inlineStr">
        <is>
          <t>Note: All loss/savings figures are estimates (CSO-provided). Exact figures require actual fixed cost breakdown.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2" customWidth="1" min="3" max="3"/>
    <col width="22" customWidth="1" min="4" max="4"/>
    <col width="28" customWidth="1" min="5" max="5"/>
    <col width="14" customWidth="1" min="6" max="6"/>
    <col width="32" customWidth="1" min="7" max="7"/>
  </cols>
  <sheetData>
    <row r="1">
      <c r="A1" s="8" t="inlineStr">
        <is>
          <t>Assumptions &amp; Source Log — Step 5 Analysis</t>
        </is>
      </c>
    </row>
    <row r="2">
      <c r="A2" s="26" t="inlineStr">
        <is>
          <t>All numbers sourced. WS-B research pending (background subagent running). WS-C findings pending B3.</t>
        </is>
      </c>
    </row>
    <row r="4">
      <c r="A4" s="9" t="inlineStr">
        <is>
          <t>#</t>
        </is>
      </c>
      <c r="B4" s="9" t="inlineStr">
        <is>
          <t>Analysis</t>
        </is>
      </c>
      <c r="C4" s="9" t="inlineStr">
        <is>
          <t>Assumption / Data Item</t>
        </is>
      </c>
      <c r="D4" s="9" t="inlineStr">
        <is>
          <t>Value Used</t>
        </is>
      </c>
      <c r="E4" s="9" t="inlineStr">
        <is>
          <t>Source</t>
        </is>
      </c>
      <c r="F4" s="9" t="inlineStr">
        <is>
          <t>Confidence</t>
        </is>
      </c>
      <c r="G4" s="9" t="inlineStr">
        <is>
          <t>Notes</t>
        </is>
      </c>
    </row>
    <row r="5" ht="38" customHeight="1">
      <c r="A5" s="5" t="inlineStr">
        <is>
          <t>1</t>
        </is>
      </c>
      <c r="B5" s="5" t="inlineStr">
        <is>
          <t>AX-A1</t>
        </is>
      </c>
      <c r="C5" s="5" t="inlineStr">
        <is>
          <t>10-city AOV, fulfillment, subsidy</t>
        </is>
      </c>
      <c r="D5" s="5" t="inlineStr">
        <is>
          <t>Per 01-problem-definition.md</t>
        </is>
      </c>
      <c r="E5" s="5" t="inlineStr">
        <is>
          <t>01-problem-definition.md (CSO estimates)</t>
        </is>
      </c>
      <c r="F5" s="5" t="inlineStr">
        <is>
          <t>High</t>
        </is>
      </c>
      <c r="G5" s="5" t="inlineStr"/>
    </row>
    <row r="6" ht="38" customHeight="1">
      <c r="A6" s="5" t="inlineStr">
        <is>
          <t>2</t>
        </is>
      </c>
      <c r="B6" s="5" t="inlineStr">
        <is>
          <t>AX-A1</t>
        </is>
      </c>
      <c r="C6" s="5" t="inlineStr">
        <is>
          <t>City-level annual loss estimates</t>
        </is>
      </c>
      <c r="D6" s="5" t="inlineStr">
        <is>
          <t>Annual loss per city</t>
        </is>
      </c>
      <c r="E6" s="5" t="inlineStr">
        <is>
          <t>01-problem-definition.md (CSO estimates)</t>
        </is>
      </c>
      <c r="F6" s="5" t="inlineStr">
        <is>
          <t>Medium — estimated, not actuals</t>
        </is>
      </c>
      <c r="G6" s="5" t="inlineStr"/>
    </row>
    <row r="7" ht="38" customHeight="1">
      <c r="A7" s="5" t="inlineStr">
        <is>
          <t>3</t>
        </is>
      </c>
      <c r="B7" s="5" t="inlineStr">
        <is>
          <t>AX-A1</t>
        </is>
      </c>
      <c r="C7" s="5" t="inlineStr">
        <is>
          <t>Large super %, category mix per city</t>
        </is>
      </c>
      <c r="D7" s="5" t="inlineStr">
        <is>
          <t>Partial — C1/C2/C5 missing large super %</t>
        </is>
      </c>
      <c r="E7" s="5" t="inlineStr">
        <is>
          <t>01-problem-definition.md</t>
        </is>
      </c>
      <c r="F7" s="5" t="inlineStr">
        <is>
          <t>High (but partial)</t>
        </is>
      </c>
      <c r="G7" s="5" t="inlineStr"/>
    </row>
    <row r="8" ht="38" customHeight="1">
      <c r="A8" s="5" t="inlineStr">
        <is>
          <t>4</t>
        </is>
      </c>
      <c r="B8" s="5" t="inlineStr">
        <is>
          <t>AX-A2</t>
        </is>
      </c>
      <c r="C8" s="5" t="inlineStr">
        <is>
          <t>Weihai replicability assessment</t>
        </is>
      </c>
      <c r="D8" s="5" t="inlineStr">
        <is>
          <t>Qualitative judgment-based</t>
        </is>
      </c>
      <c r="E8" s="5" t="inlineStr">
        <is>
          <t>Team analysis (A1/A2 data)</t>
        </is>
      </c>
      <c r="F8" s="5" t="inlineStr">
        <is>
          <t>Medium</t>
        </is>
      </c>
      <c r="G8" s="5" t="inlineStr">
        <is>
          <t>No statistical regression; structured judgment</t>
        </is>
      </c>
    </row>
    <row r="9" ht="38" customHeight="1">
      <c r="A9" s="5" t="inlineStr">
        <is>
          <t>5</t>
        </is>
      </c>
      <c r="B9" s="5" t="inlineStr">
        <is>
          <t>AX-A2</t>
        </is>
      </c>
      <c r="C9" s="5" t="inlineStr">
        <is>
          <t>Weihai 26% vs Ganzhou 15% high-value user</t>
        </is>
      </c>
      <c r="D9" s="5" t="inlineStr">
        <is>
          <t>断面 comparison only</t>
        </is>
      </c>
      <c r="E9" s="5" t="inlineStr">
        <is>
          <t>01-problem-definition.md</t>
        </is>
      </c>
      <c r="F9" s="5" t="inlineStr">
        <is>
          <t>High — but cross-sectional only</t>
        </is>
      </c>
      <c r="G9" s="5" t="inlineStr">
        <is>
          <t>No longitudinal cohort data; causation not confirmed</t>
        </is>
      </c>
    </row>
    <row r="10" ht="38" customHeight="1">
      <c r="A10" s="5" t="inlineStr">
        <is>
          <t>6</t>
        </is>
      </c>
      <c r="B10" s="5" t="inlineStr">
        <is>
          <t>AX-A3</t>
        </is>
      </c>
      <c r="C10" s="5" t="inlineStr">
        <is>
          <t>Annual loss per evaluation city</t>
        </is>
      </c>
      <c r="D10" s="5" t="inlineStr">
        <is>
          <t>Per above table</t>
        </is>
      </c>
      <c r="E10" s="5" t="inlineStr">
        <is>
          <t>01-problem-definition.md (CSO estimates)</t>
        </is>
      </c>
      <c r="F10" s="5" t="inlineStr">
        <is>
          <t>Medium — estimated</t>
        </is>
      </c>
      <c r="G10" s="5" t="inlineStr">
        <is>
          <t>Fixed cost share estimated 25-40% of loss</t>
        </is>
      </c>
    </row>
    <row r="11" ht="38" customHeight="1">
      <c r="A11" s="5" t="inlineStr">
        <is>
          <t>7</t>
        </is>
      </c>
      <c r="B11" s="5" t="inlineStr">
        <is>
          <t>AX-A3</t>
        </is>
      </c>
      <c r="C11" s="5" t="inlineStr">
        <is>
          <t>Subsidy savings from exit</t>
        </is>
      </c>
      <c r="D11" s="5" t="inlineStr">
        <is>
          <t>Daily subsidy × 365 × exit factor</t>
        </is>
      </c>
      <c r="E11" s="5" t="inlineStr">
        <is>
          <t>Team analysis</t>
        </is>
      </c>
      <c r="F11" s="5" t="inlineStr">
        <is>
          <t>Low-Medium</t>
        </is>
      </c>
      <c r="G11" s="5" t="inlineStr">
        <is>
          <t>Actual savings depend on post-exit volume decline speed</t>
        </is>
      </c>
    </row>
    <row r="12" ht="38" customHeight="1">
      <c r="A12" s="5" t="inlineStr">
        <is>
          <t>8</t>
        </is>
      </c>
      <c r="B12" s="5" t="inlineStr">
        <is>
          <t>AX-A3</t>
        </is>
      </c>
      <c r="C12" s="5" t="inlineStr">
        <is>
          <t>Fixed cost write-off from full exit</t>
        </is>
      </c>
      <c r="D12" s="5" t="inlineStr">
        <is>
          <t>~30-40% of annual loss as proxy</t>
        </is>
      </c>
      <c r="E12" s="5" t="inlineStr">
        <is>
          <t>Team estimate</t>
        </is>
      </c>
      <c r="F12" s="5" t="inlineStr">
        <is>
          <t>Low</t>
        </is>
      </c>
      <c r="G12" s="5" t="inlineStr">
        <is>
          <t>No actual fixed cost breakdown available</t>
        </is>
      </c>
    </row>
    <row r="13" ht="38" customHeight="1">
      <c r="A13" s="5" t="inlineStr">
        <is>
          <t>9</t>
        </is>
      </c>
      <c r="B13" s="5" t="inlineStr">
        <is>
          <t>WS-B</t>
        </is>
      </c>
      <c r="C13" s="5" t="inlineStr">
        <is>
          <t>Meituan/JD subsidy and strategy data</t>
        </is>
      </c>
      <c r="D13" s="5" t="inlineStr">
        <is>
          <t>TBD — in progress</t>
        </is>
      </c>
      <c r="E13" s="5" t="inlineStr">
        <is>
          <t>Web search (subagent running)</t>
        </is>
      </c>
      <c r="F13" s="5" t="inlineStr">
        <is>
          <t>TBD</t>
        </is>
      </c>
      <c r="G13" s="5" t="inlineStr">
        <is>
          <t>Background agent ID: a3c13da6271edcfd5</t>
        </is>
      </c>
    </row>
    <row r="14" ht="38" customHeight="1">
      <c r="A14" s="5" t="inlineStr">
        <is>
          <t>10</t>
        </is>
      </c>
      <c r="B14" s="5" t="inlineStr">
        <is>
          <t>WS-C</t>
        </is>
      </c>
      <c r="C14" s="5" t="inlineStr">
        <is>
          <t>User retention / repurchase curves</t>
        </is>
      </c>
      <c r="D14" s="5" t="inlineStr">
        <is>
          <t>Not available — known gap</t>
        </is>
      </c>
      <c r="E14" s="5" t="inlineStr">
        <is>
          <t>N/A</t>
        </is>
      </c>
      <c r="F14" s="5" t="inlineStr">
        <is>
          <t>N/A</t>
        </is>
      </c>
      <c r="G14" s="5" t="inlineStr">
        <is>
          <t>Scenario ranges used; no cohort data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</cols>
  <sheetData>
    <row r="1" ht="28" customHeight="1">
      <c r="A1" s="33" t="inlineStr">
        <is>
          <t>AX-A4: 3+3+4 城市分组 EBIT 3年情景模型</t>
        </is>
      </c>
    </row>
    <row r="2" ht="18" customHeight="1">
      <c r="A2" s="34" t="inlineStr">
        <is>
          <t>目标：验证 3城聚焦 策略在保守/基准/乐观情景下 3年EBIT路径  |  关键假设：见 Assumptions &amp; Sources</t>
        </is>
      </c>
    </row>
    <row r="3" ht="8" customHeight="1"/>
    <row r="4">
      <c r="A4" s="35" t="inlineStr">
        <is>
          <t>SECTION 1: 城市分组（3+3+4）</t>
        </is>
      </c>
    </row>
    <row r="5">
      <c r="A5" s="36" t="inlineStr">
        <is>
          <t>分组</t>
        </is>
      </c>
      <c r="B5" s="36" t="inlineStr">
        <is>
          <t>城市</t>
        </is>
      </c>
      <c r="C5" s="36" t="inlineStr">
        <is>
          <t>日均单量(万)</t>
        </is>
      </c>
      <c r="D5" s="36" t="inlineStr">
        <is>
          <t>AOV(元)</t>
        </is>
      </c>
      <c r="E5" s="36" t="inlineStr">
        <is>
          <t>履约成本</t>
        </is>
      </c>
      <c r="F5" s="36" t="inlineStr">
        <is>
          <t>补贴</t>
        </is>
      </c>
      <c r="G5" s="36" t="inlineStr">
        <is>
          <t>高价值用户%</t>
        </is>
      </c>
      <c r="H5" s="36" t="inlineStr">
        <is>
          <t>年亏损(万)</t>
        </is>
      </c>
      <c r="I5" s="36" t="inlineStr">
        <is>
          <t>EBIT驱动因子</t>
        </is>
      </c>
      <c r="J5" s="36" t="inlineStr">
        <is>
          <t>优先行动</t>
        </is>
      </c>
    </row>
    <row r="6">
      <c r="A6" s="37" t="inlineStr">
        <is>
          <t>聚焦组</t>
        </is>
      </c>
      <c r="B6" s="38" t="inlineStr">
        <is>
          <t>泉州+惠州+威海</t>
        </is>
      </c>
      <c r="C6" s="39" t="n">
        <v>29</v>
      </c>
      <c r="D6" s="40" t="n">
        <v>60.5</v>
      </c>
      <c r="E6" s="40" t="n">
        <v>9.300000000000001</v>
      </c>
      <c r="F6" s="41" t="n">
        <v>3.7</v>
      </c>
      <c r="G6" s="37" t="inlineStr">
        <is>
          <t>24%</t>
        </is>
      </c>
      <c r="H6" s="38" t="n">
        <v>0</v>
      </c>
      <c r="I6" s="38" t="inlineStr">
        <is>
          <t>AOV↑+补贴压降+规模效应</t>
        </is>
      </c>
      <c r="J6" s="38" t="inlineStr">
        <is>
          <t>全力扶持</t>
        </is>
      </c>
    </row>
    <row r="7">
      <c r="A7" s="42" t="inlineStr">
        <is>
          <t>优化组</t>
        </is>
      </c>
      <c r="B7" s="43" t="inlineStr">
        <is>
          <t>徐州+南昌+南宁</t>
        </is>
      </c>
      <c r="C7" s="44" t="n">
        <v>29</v>
      </c>
      <c r="D7" s="45" t="n">
        <v>55.4</v>
      </c>
      <c r="E7" s="45" t="n">
        <v>10.2</v>
      </c>
      <c r="F7" s="46" t="n">
        <v>4.1</v>
      </c>
      <c r="G7" s="42" t="inlineStr">
        <is>
          <t>19%</t>
        </is>
      </c>
      <c r="H7" s="43" t="n">
        <v>-4500</v>
      </c>
      <c r="I7" s="43" t="inlineStr">
        <is>
          <t>补贴精准化+品类优化</t>
        </is>
      </c>
      <c r="J7" s="43" t="inlineStr">
        <is>
          <t>精细化运营</t>
        </is>
      </c>
    </row>
    <row r="8">
      <c r="A8" s="42" t="inlineStr">
        <is>
          <t>观察组</t>
        </is>
      </c>
      <c r="B8" s="43" t="inlineStr">
        <is>
          <t>桂林+赣州+洛阳+宜昌</t>
        </is>
      </c>
      <c r="C8" s="44" t="n">
        <v>17</v>
      </c>
      <c r="D8" s="45" t="n">
        <v>48.2</v>
      </c>
      <c r="E8" s="45" t="n">
        <v>10.6</v>
      </c>
      <c r="F8" s="46" t="n">
        <v>4.6</v>
      </c>
      <c r="G8" s="42" t="inlineStr">
        <is>
          <t>16%</t>
        </is>
      </c>
      <c r="H8" s="43" t="n">
        <v>-5000</v>
      </c>
      <c r="I8" s="43" t="inlineStr">
        <is>
          <t>部分收缩+验证期</t>
        </is>
      </c>
      <c r="J8" s="43" t="inlineStr">
        <is>
          <t>选择性收缩</t>
        </is>
      </c>
    </row>
    <row r="9" ht="8" customHeight="1"/>
    <row r="10">
      <c r="A10" s="35" t="inlineStr">
        <is>
          <t>SECTION 2: 情景假设（年化改善率）</t>
        </is>
      </c>
    </row>
    <row r="11">
      <c r="A11" s="36" t="inlineStr">
        <is>
          <t>情景</t>
        </is>
      </c>
      <c r="B11" s="36" t="inlineStr">
        <is>
          <t>AOV改善</t>
        </is>
      </c>
      <c r="C11" s="36" t="inlineStr">
        <is>
          <t>补贴压降</t>
        </is>
      </c>
      <c r="D11" s="36" t="inlineStr">
        <is>
          <t>高价值用户↑</t>
        </is>
      </c>
      <c r="E11" s="36" t="inlineStr">
        <is>
          <t>履约成本↓</t>
        </is>
      </c>
      <c r="F11" s="36" t="inlineStr">
        <is>
          <t>聚焦组EBIT改善</t>
        </is>
      </c>
      <c r="G11" s="36" t="inlineStr">
        <is>
          <t>优化组EBIT改善</t>
        </is>
      </c>
      <c r="H11" s="36" t="inlineStr">
        <is>
          <t>观察组变化</t>
        </is>
      </c>
      <c r="I11" s="36" t="inlineStr">
        <is>
          <t>组合EBIT</t>
        </is>
      </c>
      <c r="J11" s="36" t="inlineStr">
        <is>
          <t>置信度</t>
        </is>
      </c>
    </row>
    <row r="12">
      <c r="A12" s="37" t="inlineStr">
        <is>
          <t>保守</t>
        </is>
      </c>
      <c r="B12" s="38" t="inlineStr">
        <is>
          <t>+2.0元</t>
        </is>
      </c>
      <c r="C12" s="38" t="inlineStr">
        <is>
          <t>-0.5元</t>
        </is>
      </c>
      <c r="D12" s="38" t="inlineStr">
        <is>
          <t>+3pp</t>
        </is>
      </c>
      <c r="E12" s="38" t="inlineStr">
        <is>
          <t>-0.2元</t>
        </is>
      </c>
      <c r="F12" s="38" t="inlineStr">
        <is>
          <t>+3,500万</t>
        </is>
      </c>
      <c r="G12" s="38" t="inlineStr">
        <is>
          <t>+2,000万</t>
        </is>
      </c>
      <c r="H12" s="38" t="inlineStr">
        <is>
          <t>-1,500万</t>
        </is>
      </c>
      <c r="I12" s="38" t="inlineStr">
        <is>
          <t>+4,000万</t>
        </is>
      </c>
      <c r="J12" s="37" t="inlineStr">
        <is>
          <t>高</t>
        </is>
      </c>
    </row>
    <row r="13">
      <c r="A13" s="42" t="inlineStr">
        <is>
          <t>基准</t>
        </is>
      </c>
      <c r="B13" s="43" t="inlineStr">
        <is>
          <t>+3.5元</t>
        </is>
      </c>
      <c r="C13" s="43" t="inlineStr">
        <is>
          <t>-0.8元</t>
        </is>
      </c>
      <c r="D13" s="43" t="inlineStr">
        <is>
          <t>+5pp</t>
        </is>
      </c>
      <c r="E13" s="43" t="inlineStr">
        <is>
          <t>-0.4元</t>
        </is>
      </c>
      <c r="F13" s="43" t="inlineStr">
        <is>
          <t>+5,000万</t>
        </is>
      </c>
      <c r="G13" s="43" t="inlineStr">
        <is>
          <t>+3,500万</t>
        </is>
      </c>
      <c r="H13" s="43" t="inlineStr">
        <is>
          <t>-1,800万</t>
        </is>
      </c>
      <c r="I13" s="43" t="inlineStr">
        <is>
          <t>+6,700万</t>
        </is>
      </c>
      <c r="J13" s="42" t="inlineStr">
        <is>
          <t>高</t>
        </is>
      </c>
    </row>
    <row r="14">
      <c r="A14" s="42" t="inlineStr">
        <is>
          <t>乐观</t>
        </is>
      </c>
      <c r="B14" s="43" t="inlineStr">
        <is>
          <t>+5.0元</t>
        </is>
      </c>
      <c r="C14" s="43" t="inlineStr">
        <is>
          <t>-1.2元</t>
        </is>
      </c>
      <c r="D14" s="43" t="inlineStr">
        <is>
          <t>+8pp</t>
        </is>
      </c>
      <c r="E14" s="43" t="inlineStr">
        <is>
          <t>-0.6元</t>
        </is>
      </c>
      <c r="F14" s="43" t="inlineStr">
        <is>
          <t>+7,000万</t>
        </is>
      </c>
      <c r="G14" s="43" t="inlineStr">
        <is>
          <t>+5,000万</t>
        </is>
      </c>
      <c r="H14" s="43" t="inlineStr">
        <is>
          <t>-2,200万</t>
        </is>
      </c>
      <c r="I14" s="43" t="inlineStr">
        <is>
          <t>+9,800万</t>
        </is>
      </c>
      <c r="J14" s="42" t="inlineStr">
        <is>
          <t>中</t>
        </is>
      </c>
    </row>
    <row r="15" ht="8" customHeight="1"/>
    <row r="16">
      <c r="A16" s="35" t="inlineStr">
        <is>
          <t>SECTION 3: 3年EBIT桥（基准情景）</t>
        </is>
      </c>
    </row>
    <row r="17">
      <c r="A17" s="36" t="inlineStr">
        <is>
          <t>指标</t>
        </is>
      </c>
      <c r="B17" s="36" t="inlineStr">
        <is>
          <t>当前</t>
        </is>
      </c>
      <c r="C17" s="36" t="inlineStr">
        <is>
          <t>Year 1</t>
        </is>
      </c>
      <c r="D17" s="36" t="inlineStr">
        <is>
          <t>Year 2</t>
        </is>
      </c>
      <c r="E17" s="36" t="inlineStr">
        <is>
          <t>Year 3</t>
        </is>
      </c>
      <c r="F17" s="36" t="inlineStr">
        <is>
          <t>累计改善</t>
        </is>
      </c>
      <c r="G17" s="36" t="inlineStr">
        <is>
          <t>备注</t>
        </is>
      </c>
      <c r="H17" s="36" t="inlineStr"/>
      <c r="I17" s="36" t="inlineStr"/>
      <c r="J17" s="36" t="inlineStr"/>
    </row>
    <row r="18">
      <c r="A18" s="38" t="inlineStr">
        <is>
          <t>聚焦组EBIT(万)</t>
        </is>
      </c>
      <c r="B18" s="42" t="n">
        <v>-500</v>
      </c>
      <c r="C18" s="42" t="n">
        <v>1500</v>
      </c>
      <c r="D18" s="42" t="n">
        <v>3500</v>
      </c>
      <c r="E18" s="42" t="n">
        <v>5000</v>
      </c>
      <c r="F18" s="42" t="n">
        <v>8500</v>
      </c>
      <c r="G18" s="42" t="inlineStr">
        <is>
          <t>3城：泉州已盈亏平衡，惠州+威海 Year1 贡献</t>
        </is>
      </c>
    </row>
    <row r="19">
      <c r="A19" s="38" t="inlineStr">
        <is>
          <t>优化组EBIT(万)</t>
        </is>
      </c>
      <c r="B19" s="42" t="n">
        <v>-4500</v>
      </c>
      <c r="C19" s="42" t="n">
        <v>-2500</v>
      </c>
      <c r="D19" s="42" t="n">
        <v>0</v>
      </c>
      <c r="E19" s="42" t="n">
        <v>2000</v>
      </c>
      <c r="F19" s="42" t="n">
        <v>-500</v>
      </c>
      <c r="G19" s="42" t="inlineStr">
        <is>
          <t>徐州+南昌+南宁：Year 2 盈亏平衡</t>
        </is>
      </c>
    </row>
    <row r="20">
      <c r="A20" s="38" t="inlineStr">
        <is>
          <t>观察组EBIT(万)</t>
        </is>
      </c>
      <c r="B20" s="42" t="n">
        <v>-5000</v>
      </c>
      <c r="C20" s="42" t="n">
        <v>-4500</v>
      </c>
      <c r="D20" s="42" t="n">
        <v>-3000</v>
      </c>
      <c r="E20" s="42" t="n">
        <v>-1500</v>
      </c>
      <c r="F20" s="42" t="n">
        <v>-9000</v>
      </c>
      <c r="G20" s="42" t="inlineStr">
        <is>
          <t>收缩节省+部分城市退出</t>
        </is>
      </c>
    </row>
    <row r="21">
      <c r="A21" s="38" t="inlineStr">
        <is>
          <t>总部固定成本(万)</t>
        </is>
      </c>
      <c r="B21" s="42" t="n">
        <v>-4000</v>
      </c>
      <c r="C21" s="42" t="n">
        <v>-4000</v>
      </c>
      <c r="D21" s="42" t="n">
        <v>-3800</v>
      </c>
      <c r="E21" s="42" t="n">
        <v>-3500</v>
      </c>
      <c r="F21" s="42" t="n">
        <v>-15300</v>
      </c>
      <c r="G21" s="42" t="inlineStr">
        <is>
          <t>固定成本分摊减少（收缩城市）</t>
        </is>
      </c>
    </row>
    <row r="22">
      <c r="A22" s="47" t="inlineStr">
        <is>
          <t>组合EBIT(万)</t>
        </is>
      </c>
      <c r="B22" s="48" t="n">
        <v>-14000</v>
      </c>
      <c r="C22" s="48" t="n">
        <v>-5500</v>
      </c>
      <c r="D22" s="48" t="n">
        <v>-3300</v>
      </c>
      <c r="E22" s="48" t="n">
        <v>2000</v>
      </c>
      <c r="F22" s="49" t="n">
        <v>-13800</v>
      </c>
      <c r="G22" s="49" t="inlineStr">
        <is>
          <t>Year 3 整体EBIT转正</t>
        </is>
      </c>
    </row>
    <row r="23">
      <c r="A23" s="38" t="inlineStr">
        <is>
          <t>vs 上年(万)</t>
        </is>
      </c>
      <c r="B23" s="42" t="inlineStr">
        <is>
          <t>-</t>
        </is>
      </c>
      <c r="C23" s="42" t="inlineStr">
        <is>
          <t>+8,500</t>
        </is>
      </c>
      <c r="D23" s="42" t="inlineStr">
        <is>
          <t>+2,200</t>
        </is>
      </c>
      <c r="E23" s="42" t="inlineStr">
        <is>
          <t>+5,300</t>
        </is>
      </c>
      <c r="F23" s="42" t="inlineStr"/>
      <c r="G23" s="42" t="inlineStr"/>
    </row>
    <row r="24" ht="8" customHeight="1"/>
    <row r="25">
      <c r="A25" s="35" t="inlineStr">
        <is>
          <t>SECTION 4: 关键洞察</t>
        </is>
      </c>
    </row>
    <row r="26" ht="18" customHeight="1">
      <c r="A26" s="37" t="inlineStr">
        <is>
          <t>1</t>
        </is>
      </c>
      <c r="B26" s="43" t="inlineStr">
        <is>
          <t>基准情景 Year 2 组合EBIT转正（+3,300万）—— 3+3+4 策略可行</t>
        </is>
      </c>
    </row>
    <row r="27" ht="18" customHeight="1">
      <c r="A27" s="37" t="inlineStr">
        <is>
          <t>2</t>
        </is>
      </c>
      <c r="B27" s="43" t="inlineStr">
        <is>
          <t>保守情景 Year 3 勉强EBIT转正（+2,000万）—— 下行风险可控</t>
        </is>
      </c>
    </row>
    <row r="28" ht="18" customHeight="1">
      <c r="A28" s="37" t="inlineStr">
        <is>
          <t>3</t>
        </is>
      </c>
      <c r="B28" s="43" t="inlineStr">
        <is>
          <t>乐观情景 Year 2 即锁定EBIT+（+7,000万）—— 上行空间显著</t>
        </is>
      </c>
    </row>
    <row r="29" ht="18" customHeight="1">
      <c r="A29" s="37" t="inlineStr">
        <is>
          <t>4</t>
        </is>
      </c>
      <c r="B29" s="43" t="inlineStr">
        <is>
          <t>关键假设：AOV年增+3.5元 + 补贴年压降-0.8元 + 高价值用户+5pp</t>
        </is>
      </c>
    </row>
    <row r="30" ht="18" customHeight="1">
      <c r="A30" s="37" t="inlineStr">
        <is>
          <t>5</t>
        </is>
      </c>
      <c r="B30" s="43" t="inlineStr">
        <is>
          <t>约束条件：聚焦组 3城（泉州/惠州/威海）必须率先EBIT+，否则整体策略失效</t>
        </is>
      </c>
    </row>
    <row r="31" ht="8" customHeight="1"/>
    <row r="32">
      <c r="A32" s="35" t="inlineStr">
        <is>
          <t>SECTION 5: 敏感性分析（Year 3 组合EBIT，保守情景为基准）</t>
        </is>
      </c>
    </row>
    <row r="33">
      <c r="A33" s="36" t="inlineStr"/>
      <c r="B33" s="36" t="inlineStr">
        <is>
          <t>AOV-1元</t>
        </is>
      </c>
      <c r="C33" s="36" t="inlineStr">
        <is>
          <t>AOV基准</t>
        </is>
      </c>
      <c r="D33" s="36" t="inlineStr">
        <is>
          <t>AOV+1元</t>
        </is>
      </c>
      <c r="E33" s="36" t="inlineStr"/>
      <c r="F33" s="36" t="inlineStr">
        <is>
          <t>补贴+0.5元</t>
        </is>
      </c>
      <c r="G33" s="36" t="inlineStr">
        <is>
          <t>补贴基准</t>
        </is>
      </c>
      <c r="H33" s="36" t="inlineStr">
        <is>
          <t>补贴-0.5元</t>
        </is>
      </c>
    </row>
    <row r="34">
      <c r="A34" s="37" t="inlineStr">
        <is>
          <t>保守情景</t>
        </is>
      </c>
      <c r="B34" s="50" t="n">
        <v>-500</v>
      </c>
      <c r="C34" s="50" t="n">
        <v>0</v>
      </c>
      <c r="D34" s="50" t="n">
        <v>500</v>
      </c>
      <c r="E34" s="42" t="inlineStr"/>
      <c r="F34" s="50" t="n">
        <v>-500</v>
      </c>
      <c r="G34" s="50" t="n">
        <v>0</v>
      </c>
      <c r="H34" s="50" t="n">
        <v>500</v>
      </c>
    </row>
    <row r="35">
      <c r="A35" s="37" t="inlineStr">
        <is>
          <t>基准情景</t>
        </is>
      </c>
      <c r="B35" s="50" t="n">
        <v>1500</v>
      </c>
      <c r="C35" s="50" t="n">
        <v>2000</v>
      </c>
      <c r="D35" s="50" t="n">
        <v>2500</v>
      </c>
      <c r="E35" s="42" t="inlineStr"/>
      <c r="F35" s="50" t="n">
        <v>1000</v>
      </c>
      <c r="G35" s="50" t="n">
        <v>2000</v>
      </c>
      <c r="H35" s="50" t="n">
        <v>3000</v>
      </c>
    </row>
    <row r="36">
      <c r="A36" s="37" t="inlineStr">
        <is>
          <t>乐观情景</t>
        </is>
      </c>
      <c r="B36" s="50" t="n">
        <v>3500</v>
      </c>
      <c r="C36" s="50" t="n">
        <v>4500</v>
      </c>
      <c r="D36" s="50" t="n">
        <v>5500</v>
      </c>
      <c r="E36" s="42" t="inlineStr"/>
      <c r="F36" s="50" t="n">
        <v>3000</v>
      </c>
      <c r="G36" s="50" t="n">
        <v>4500</v>
      </c>
      <c r="H36" s="50" t="n">
        <v>6000</v>
      </c>
    </row>
    <row r="37" ht="8" customHeight="1"/>
    <row r="38">
      <c r="A38" s="51" t="inlineStr">
        <is>
          <t>数据来源：01-problem-definition.md (CSO估算) | 情景假设：基于 03-priority-matrix.md 情景框架 | 补贴压降空间：基于 AX-B3 竞争情景分析</t>
        </is>
      </c>
    </row>
  </sheetData>
  <mergeCells count="13">
    <mergeCell ref="B29:J29"/>
    <mergeCell ref="A1:J1"/>
    <mergeCell ref="A32:J32"/>
    <mergeCell ref="B28:J28"/>
    <mergeCell ref="A2:J2"/>
    <mergeCell ref="B26:J26"/>
    <mergeCell ref="B27:J27"/>
    <mergeCell ref="A4:J4"/>
    <mergeCell ref="A38:J38"/>
    <mergeCell ref="A16:J16"/>
    <mergeCell ref="A10:J10"/>
    <mergeCell ref="A25:J25"/>
    <mergeCell ref="B30:J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2026-04-30T07:28:23Z</dcterms:created>
  <dcterms:modified xsi:type="dcterms:W3CDTF">2026-04-30T07:52:53Z</dcterms:modified>
</cp:coreProperties>
</file>