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X-A1 10-City Comparison" sheetId="2" state="visible" r:id="rId2"/>
    <sheet name="AX-A2 3-City Paths" sheetId="3" state="visible" r:id="rId3"/>
    <sheet name="AX-A3 Contraction Analysis" sheetId="4" state="visible" r:id="rId4"/>
    <sheet name="Assumptions &amp; Sourc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10"/>
    </font>
    <font>
      <b val="1"/>
      <sz val="11"/>
    </font>
    <font>
      <b val="1"/>
      <color rgb="00FFFFFF"/>
      <sz val="9"/>
    </font>
    <font>
      <sz val="9"/>
    </font>
    <font>
      <b val="1"/>
      <sz val="12"/>
    </font>
    <font>
      <b val="1"/>
      <color rgb="00C6EFCE"/>
    </font>
    <font>
      <b val="1"/>
      <sz val="9"/>
    </font>
    <font>
      <b val="1"/>
      <color rgb="002F5496"/>
      <sz val="11"/>
    </font>
    <font>
      <b val="1"/>
      <sz val="10"/>
    </font>
    <font>
      <i val="1"/>
      <color rgb="00666666"/>
      <sz val="9"/>
    </font>
  </fonts>
  <fills count="10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4CCCC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6" fillId="0" borderId="0" pivotButton="0" quotePrefix="0" xfId="0"/>
    <xf numFmtId="0" fontId="4" fillId="2" borderId="0" applyAlignment="1" pivotButton="0" quotePrefix="0" xfId="0">
      <alignment horizontal="center" wrapText="1"/>
    </xf>
    <xf numFmtId="0" fontId="5" fillId="4" borderId="0" applyAlignment="1" pivotButton="0" quotePrefix="0" xfId="0">
      <alignment horizontal="left"/>
    </xf>
    <xf numFmtId="0" fontId="5" fillId="4" borderId="0" applyAlignment="1" pivotButton="0" quotePrefix="0" xfId="0">
      <alignment horizontal="center"/>
    </xf>
    <xf numFmtId="0" fontId="5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center"/>
    </xf>
    <xf numFmtId="0" fontId="5" fillId="5" borderId="0" applyAlignment="1" pivotButton="0" quotePrefix="0" xfId="0">
      <alignment horizontal="left"/>
    </xf>
    <xf numFmtId="0" fontId="5" fillId="5" borderId="0" applyAlignment="1" pivotButton="0" quotePrefix="0" xfId="0">
      <alignment horizontal="center"/>
    </xf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5" fillId="6" borderId="0" applyAlignment="1" pivotButton="0" quotePrefix="0" xfId="0">
      <alignment vertical="top" wrapText="1"/>
    </xf>
    <xf numFmtId="0" fontId="5" fillId="7" borderId="0" applyAlignment="1" pivotButton="0" quotePrefix="0" xfId="0">
      <alignment vertical="top" wrapText="1"/>
    </xf>
    <xf numFmtId="0" fontId="5" fillId="8" borderId="0" applyAlignment="1" pivotButton="0" quotePrefix="0" xfId="0">
      <alignment vertical="top" wrapText="1"/>
    </xf>
    <xf numFmtId="0" fontId="10" fillId="0" borderId="0" pivotButton="0" quotePrefix="0" xfId="0"/>
    <xf numFmtId="0" fontId="8" fillId="9" borderId="0" pivotButton="0" quotePrefix="0" xfId="0"/>
    <xf numFmtId="0" fontId="4" fillId="2" borderId="0" pivotButton="0" quotePrefix="0" xfId="0"/>
    <xf numFmtId="0" fontId="5" fillId="5" borderId="0" applyAlignment="1" pivotButton="0" quotePrefix="0" xfId="0">
      <alignment vertical="top" wrapText="1"/>
    </xf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36" customWidth="1" min="3" max="3"/>
    <col width="36" customWidth="1" min="4" max="4"/>
    <col width="18" customWidth="1" min="5" max="5"/>
    <col width="12" customWidth="1" min="6" max="6"/>
  </cols>
  <sheetData>
    <row r="1">
      <c r="A1" s="1" t="inlineStr">
        <is>
          <t>Analysis Workbook — Instant Retail Co. Tier 3-4 Strategy</t>
        </is>
      </c>
    </row>
    <row r="2">
      <c r="A2" s="2" t="inlineStr">
        <is>
          <t>Step 5 Analysis | 2026-04-30 | CONFIDENTIAL</t>
        </is>
      </c>
    </row>
    <row r="4">
      <c r="A4" s="3" t="inlineStr">
        <is>
          <t>Summary of Findings</t>
        </is>
      </c>
    </row>
    <row r="5">
      <c r="A5" s="4" t="inlineStr">
        <is>
          <t>#</t>
        </is>
      </c>
      <c r="B5" s="4" t="inlineStr">
        <is>
          <t>Analysis</t>
        </is>
      </c>
      <c r="C5" s="4" t="inlineStr">
        <is>
          <t>Key Finding</t>
        </is>
      </c>
      <c r="D5" s="4" t="inlineStr">
        <is>
          <t>Implication for Key Question</t>
        </is>
      </c>
      <c r="E5" s="4" t="inlineStr">
        <is>
          <t>Hypothesis Status</t>
        </is>
      </c>
      <c r="F5" s="4" t="inlineStr">
        <is>
          <t>Confidence</t>
        </is>
      </c>
    </row>
    <row r="6" ht="42" customHeight="1">
      <c r="A6" s="5" t="inlineStr">
        <is>
          <t>A1</t>
        </is>
      </c>
      <c r="B6" s="5" t="inlineStr">
        <is>
          <t>10-City Comparative</t>
        </is>
      </c>
      <c r="C6" s="5" t="inlineStr">
        <is>
          <t>C3/C7/C8最优 (AOV高+补贴低); C10/C9/C4最差 (AOV低+补贴高)</t>
        </is>
      </c>
      <c r="D6" s="5" t="inlineStr">
        <is>
          <t>城市质量差异显著，选择性收缩+聚焦3城是核心杠杆</t>
        </is>
      </c>
      <c r="E6" s="6" t="inlineStr">
        <is>
          <t>Partially confirmed</t>
        </is>
      </c>
      <c r="F6" s="5" t="inlineStr">
        <is>
          <t>High</t>
        </is>
      </c>
    </row>
    <row r="7" ht="42" customHeight="1">
      <c r="A7" s="5" t="inlineStr">
        <is>
          <t>A2</t>
        </is>
      </c>
      <c r="B7" s="5" t="inlineStr">
        <is>
          <t>3-City Profit Path + Weihai Insights</t>
        </is>
      </c>
      <c r="C7" s="5" t="inlineStr">
        <is>
          <t>泉州=大超深度; 惠州=规模; 威海=高AOV低履约;三条不同路径</t>
        </is>
      </c>
      <c r="D7" s="5" t="inlineStr">
        <is>
          <t>复制需三种独立playbook;威海模式在C7/C1部分可复制</t>
        </is>
      </c>
      <c r="E7" s="6" t="inlineStr">
        <is>
          <t>Partially confirmed</t>
        </is>
      </c>
      <c r="F7" s="5" t="inlineStr">
        <is>
          <t>High</t>
        </is>
      </c>
    </row>
    <row r="8" ht="42" customHeight="1">
      <c r="A8" s="5" t="inlineStr">
        <is>
          <t>A3</t>
        </is>
      </c>
      <c r="B8" s="5" t="inlineStr">
        <is>
          <t>Selective Contraction Analysis</t>
        </is>
      </c>
      <c r="C8" s="5" t="inlineStr">
        <is>
          <t>退出2城节省~3,000万/年; 4城部分收缩~1,850万/年</t>
        </is>
      </c>
      <c r="D8" s="5" t="inlineStr">
        <is>
          <t>选择性收缩是第一步止血，释放资源向优先城市集中</t>
        </is>
      </c>
      <c r="E8" s="7" t="inlineStr">
        <is>
          <t>Confirmed</t>
        </is>
      </c>
      <c r="F8" s="5" t="inlineStr">
        <is>
          <t>High</t>
        </is>
      </c>
    </row>
    <row r="9" ht="42" customHeight="1">
      <c r="A9" s="5" t="inlineStr">
        <is>
          <t>B1</t>
        </is>
      </c>
      <c r="B9" s="5" t="inlineStr">
        <is>
          <t>Meituan Research</t>
        </is>
      </c>
      <c r="C9" s="5" t="inlineStr">
        <is>
          <t>美团全国单均补贴估算2-4元; 三四线竞争中等偏强</t>
        </is>
      </c>
      <c r="D9" s="5" t="inlineStr">
        <is>
          <t>补贴下限约3-3.5元，压降空间存在但有限</t>
        </is>
      </c>
      <c r="E9" s="6" t="inlineStr">
        <is>
          <t>Pending</t>
        </is>
      </c>
      <c r="F9" s="5" t="inlineStr">
        <is>
          <t>Medium</t>
        </is>
      </c>
    </row>
    <row r="10" ht="42" customHeight="1">
      <c r="A10" s="5" t="inlineStr">
        <is>
          <t>B2</t>
        </is>
      </c>
      <c r="B10" s="5" t="inlineStr">
        <is>
          <t>JD Research</t>
        </is>
      </c>
      <c r="C10" s="5" t="inlineStr">
        <is>
          <t>京东到家低线城市渗透有限; 主要竞争来自美团</t>
        </is>
      </c>
      <c r="D10" s="5" t="inlineStr">
        <is>
          <t>JD威胁相对可控</t>
        </is>
      </c>
      <c r="E10" s="6" t="inlineStr">
        <is>
          <t>Pending</t>
        </is>
      </c>
      <c r="F10" s="5" t="inlineStr">
        <is>
          <t>Medium</t>
        </is>
      </c>
    </row>
    <row r="11" ht="42" customHeight="1">
      <c r="A11" s="5" t="inlineStr">
        <is>
          <t>B3</t>
        </is>
      </c>
      <c r="B11" s="5" t="inlineStr">
        <is>
          <t>Competitive Scenarios</t>
        </is>
      </c>
      <c r="C11" s="5" t="inlineStr">
        <is>
          <t>高情景: 下限3.5-4元; 中: 3元; 低: 2.5元</t>
        </is>
      </c>
      <c r="D11" s="5" t="inlineStr">
        <is>
          <t>即使高情景也有~0.5元压降空间</t>
        </is>
      </c>
      <c r="E11" s="6" t="inlineStr">
        <is>
          <t>Pending</t>
        </is>
      </c>
      <c r="F11" s="5" t="inlineStr">
        <is>
          <t>Medium</t>
        </is>
      </c>
    </row>
    <row r="12" ht="42" customHeight="1">
      <c r="A12" s="5" t="inlineStr">
        <is>
          <t>C1</t>
        </is>
      </c>
      <c r="B12" s="5" t="inlineStr">
        <is>
          <t>Subsidy Efficiency Diagnostic</t>
        </is>
      </c>
      <c r="C12" s="5" t="inlineStr">
        <is>
          <t>C10补贴4.9元+高价值15%(最差); C8补贴3.5元+26%(最优)</t>
        </is>
      </c>
      <c r="D12" s="5" t="inlineStr">
        <is>
          <t>补贴效率差异达2倍，精准化改善空间显著</t>
        </is>
      </c>
      <c r="E12" s="7" t="inlineStr">
        <is>
          <t>Confirmed</t>
        </is>
      </c>
      <c r="F12" s="5" t="inlineStr">
        <is>
          <t>High</t>
        </is>
      </c>
    </row>
    <row r="13" ht="42" customHeight="1">
      <c r="A13" s="5" t="inlineStr">
        <is>
          <t>C2</t>
        </is>
      </c>
      <c r="B13" s="5" t="inlineStr">
        <is>
          <t>HV User Improvement Potential</t>
        </is>
      </c>
      <c r="C13" s="5" t="inlineStr">
        <is>
          <t>威海vs赣州11pp差距主因是品类结构+大超深度</t>
        </is>
      </c>
      <c r="D13" s="5" t="inlineStr">
        <is>
          <t>品类结构和大超合作可在12个月内改善</t>
        </is>
      </c>
      <c r="E13" s="6" t="inlineStr">
        <is>
          <t>Partially confirmed</t>
        </is>
      </c>
      <c r="F13" s="5" t="inlineStr">
        <is>
          <t>Medium</t>
        </is>
      </c>
    </row>
    <row r="14" ht="42" customHeight="1">
      <c r="A14" s="5" t="inlineStr">
        <is>
          <t>C3</t>
        </is>
      </c>
      <c r="B14" s="5" t="inlineStr">
        <is>
          <t>Subsidy Reallocation Scenarios</t>
        </is>
      </c>
      <c r="C14" s="5" t="inlineStr">
        <is>
          <t>保守: 1,500万; 基准: 3,000万; 乐观: 4,500万/年节省</t>
        </is>
      </c>
      <c r="D14" s="5" t="inlineStr">
        <is>
          <t>补贴精准化是最大改善杠杆，3年内可实现显著压降</t>
        </is>
      </c>
      <c r="E14" s="6" t="inlineStr">
        <is>
          <t>Pending — B3 gate</t>
        </is>
      </c>
      <c r="F14" s="5" t="inlineStr">
        <is>
          <t>Medium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4" customWidth="1" min="3" max="3"/>
    <col width="13" customWidth="1" min="4" max="4"/>
    <col width="12" customWidth="1" min="5" max="5"/>
    <col width="11" customWidth="1" min="6" max="6"/>
    <col width="13" customWidth="1" min="7" max="7"/>
    <col width="10" customWidth="1" min="8" max="8"/>
    <col width="13" customWidth="1" min="9" max="9"/>
    <col width="10" customWidth="1" min="10" max="10"/>
    <col width="12" customWidth="1" min="11" max="11"/>
    <col width="16" customWidth="1" min="12" max="12"/>
  </cols>
  <sheetData>
    <row r="1">
      <c r="A1" s="8" t="inlineStr">
        <is>
          <t>AX-A1: 10-City Comparative Financial Analysis</t>
        </is>
      </c>
    </row>
    <row r="2">
      <c r="A2" t="inlineStr">
        <is>
          <t>Question: Which cities have best/worst unit economics and why?</t>
        </is>
      </c>
    </row>
    <row r="3">
      <c r="A3" t="inlineStr">
        <is>
          <t>Source: 01-problem-definition.md (10-city dataset, CSO estimates)</t>
        </is>
      </c>
    </row>
    <row r="5">
      <c r="A5" s="9" t="inlineStr">
        <is>
          <t>City</t>
        </is>
      </c>
      <c r="B5" s="9" t="inlineStr">
        <is>
          <t>AOV (元)</t>
        </is>
      </c>
      <c r="C5" s="9" t="inlineStr">
        <is>
          <t>Fulfillment (元)</t>
        </is>
      </c>
      <c r="D5" s="9" t="inlineStr">
        <is>
          <t>Subsidy (元)</t>
        </is>
      </c>
      <c r="E5" s="9" t="inlineStr">
        <is>
          <t>Cost/AOV (%)</t>
        </is>
      </c>
      <c r="F5" s="9" t="inlineStr">
        <is>
          <t>HV User (%)</t>
        </is>
      </c>
      <c r="G5" s="9" t="inlineStr">
        <is>
          <t>Large Super (%)</t>
        </is>
      </c>
      <c r="H5" s="9" t="inlineStr">
        <is>
          <t>Fresh (%)</t>
        </is>
      </c>
      <c r="I5" s="9" t="inlineStr">
        <is>
          <t>Restaurant (%)</t>
        </is>
      </c>
      <c r="J5" s="9" t="inlineStr">
        <is>
          <t>Open Year</t>
        </is>
      </c>
      <c r="K5" s="9" t="inlineStr">
        <is>
          <t>Mkt Share (%)</t>
        </is>
      </c>
      <c r="L5" s="9" t="inlineStr">
        <is>
          <t>Daily Orders (k)</t>
        </is>
      </c>
    </row>
    <row r="6" ht="18" customHeight="1">
      <c r="A6" s="10" t="inlineStr">
        <is>
          <t>C3 泉州</t>
        </is>
      </c>
      <c r="B6" s="11" t="n">
        <v>62</v>
      </c>
      <c r="C6" s="11" t="n">
        <v>10.2</v>
      </c>
      <c r="D6" s="11" t="n">
        <v>3.5</v>
      </c>
      <c r="E6" s="11" t="n">
        <v>22.1</v>
      </c>
      <c r="F6" s="11" t="n">
        <v>25</v>
      </c>
      <c r="G6" s="11" t="n">
        <v>23</v>
      </c>
      <c r="H6" s="11" t="n">
        <v>36</v>
      </c>
      <c r="I6" s="11" t="n">
        <v>22</v>
      </c>
      <c r="J6" s="11" t="n">
        <v>2018</v>
      </c>
      <c r="K6" s="11" t="n">
        <v>35</v>
      </c>
      <c r="L6" s="11" t="n">
        <v>130</v>
      </c>
    </row>
    <row r="7" ht="18" customHeight="1">
      <c r="A7" s="10" t="inlineStr">
        <is>
          <t>C7 惠州</t>
        </is>
      </c>
      <c r="B7" s="11" t="n">
        <v>60</v>
      </c>
      <c r="C7" s="11" t="n">
        <v>10.1</v>
      </c>
      <c r="D7" s="11" t="n">
        <v>3.8</v>
      </c>
      <c r="E7" s="11" t="n">
        <v>23.2</v>
      </c>
      <c r="F7" s="11" t="n">
        <v>24</v>
      </c>
      <c r="G7" s="11" t="n">
        <v>21</v>
      </c>
      <c r="H7" s="11" t="n">
        <v>35</v>
      </c>
      <c r="I7" s="11" t="n">
        <v>24</v>
      </c>
      <c r="J7" s="11" t="n">
        <v>2018</v>
      </c>
      <c r="K7" s="11" t="n">
        <v>33</v>
      </c>
      <c r="L7" s="11" t="n">
        <v>120</v>
      </c>
    </row>
    <row r="8" ht="18" customHeight="1">
      <c r="A8" s="10" t="inlineStr">
        <is>
          <t>C8 威海</t>
        </is>
      </c>
      <c r="B8" s="11" t="n">
        <v>65</v>
      </c>
      <c r="C8" s="11" t="n">
        <v>9</v>
      </c>
      <c r="D8" s="11" t="n">
        <v>3.5</v>
      </c>
      <c r="E8" s="11" t="n">
        <v>19.2</v>
      </c>
      <c r="F8" s="11" t="n">
        <v>26</v>
      </c>
      <c r="G8" s="11" t="n">
        <v>18</v>
      </c>
      <c r="H8" s="11" t="n">
        <v>35</v>
      </c>
      <c r="I8" s="11" t="n">
        <v>20</v>
      </c>
      <c r="J8" s="11" t="n">
        <v>2021</v>
      </c>
      <c r="K8" s="11" t="n">
        <v>27</v>
      </c>
      <c r="L8" s="11" t="n">
        <v>40</v>
      </c>
    </row>
    <row r="9" ht="18" customHeight="1">
      <c r="A9" s="12" t="inlineStr">
        <is>
          <t>C1 徐州</t>
        </is>
      </c>
      <c r="B9" s="13" t="n">
        <v>58</v>
      </c>
      <c r="C9" s="13" t="n">
        <v>10.5</v>
      </c>
      <c r="D9" s="13" t="n">
        <v>4</v>
      </c>
      <c r="E9" s="13" t="n">
        <v>25</v>
      </c>
      <c r="F9" s="13" t="n">
        <v>22</v>
      </c>
      <c r="G9" s="13" t="n">
        <v>15</v>
      </c>
      <c r="H9" s="13" t="n">
        <v>38</v>
      </c>
      <c r="I9" s="13" t="n">
        <v>23</v>
      </c>
      <c r="J9" s="13" t="n">
        <v>2019</v>
      </c>
      <c r="K9" s="13" t="n">
        <v>32</v>
      </c>
      <c r="L9" s="13" t="n">
        <v>110</v>
      </c>
    </row>
    <row r="10" ht="18" customHeight="1">
      <c r="A10" s="12" t="inlineStr">
        <is>
          <t>C2 南昌</t>
        </is>
      </c>
      <c r="B10" s="13" t="n">
        <v>55</v>
      </c>
      <c r="C10" s="13" t="n">
        <v>9.800000000000001</v>
      </c>
      <c r="D10" s="13" t="n">
        <v>4.3</v>
      </c>
      <c r="E10" s="13" t="n">
        <v>27.5</v>
      </c>
      <c r="F10" s="13" t="n">
        <v>19</v>
      </c>
      <c r="G10" s="13" t="n">
        <v>16</v>
      </c>
      <c r="H10" s="13" t="n">
        <v>37</v>
      </c>
      <c r="I10" s="13" t="n">
        <v>25</v>
      </c>
      <c r="J10" s="13" t="n">
        <v>2020</v>
      </c>
      <c r="K10" s="13" t="n">
        <v>28</v>
      </c>
      <c r="L10" s="13" t="n">
        <v>85</v>
      </c>
    </row>
    <row r="11" ht="18" customHeight="1">
      <c r="A11" s="12" t="inlineStr">
        <is>
          <t>C6 南宁</t>
        </is>
      </c>
      <c r="B11" s="13" t="n">
        <v>53</v>
      </c>
      <c r="C11" s="13" t="n">
        <v>10</v>
      </c>
      <c r="D11" s="13" t="n">
        <v>4.1</v>
      </c>
      <c r="E11" s="13" t="n">
        <v>26.6</v>
      </c>
      <c r="F11" s="13" t="n">
        <v>20</v>
      </c>
      <c r="G11" s="13" t="n">
        <v>14</v>
      </c>
      <c r="H11" s="13" t="n">
        <v>39</v>
      </c>
      <c r="I11" s="13" t="n">
        <v>24</v>
      </c>
      <c r="J11" s="13" t="n">
        <v>2019</v>
      </c>
      <c r="K11" s="13" t="n">
        <v>30</v>
      </c>
      <c r="L11" s="13" t="n">
        <v>95</v>
      </c>
    </row>
    <row r="12" ht="18" customHeight="1">
      <c r="A12" s="12" t="inlineStr">
        <is>
          <t>C5 宜昌</t>
        </is>
      </c>
      <c r="B12" s="13" t="n">
        <v>52</v>
      </c>
      <c r="C12" s="13" t="n">
        <v>9.5</v>
      </c>
      <c r="D12" s="13" t="n">
        <v>4.2</v>
      </c>
      <c r="E12" s="13" t="n">
        <v>26.3</v>
      </c>
      <c r="F12" s="13" t="n">
        <v>18</v>
      </c>
      <c r="G12" s="13" t="n">
        <v>13</v>
      </c>
      <c r="H12" s="13" t="n">
        <v>36</v>
      </c>
      <c r="I12" s="13" t="n">
        <v>26</v>
      </c>
      <c r="J12" s="13" t="n">
        <v>2021</v>
      </c>
      <c r="K12" s="13" t="n">
        <v>24</v>
      </c>
      <c r="L12" s="13" t="n">
        <v>45</v>
      </c>
    </row>
    <row r="13" ht="18" customHeight="1">
      <c r="A13" s="14" t="inlineStr">
        <is>
          <t>C4 洛阳</t>
        </is>
      </c>
      <c r="B13" s="15" t="n">
        <v>50</v>
      </c>
      <c r="C13" s="15" t="n">
        <v>10.8</v>
      </c>
      <c r="D13" s="15" t="n">
        <v>4.4</v>
      </c>
      <c r="E13" s="15" t="n">
        <v>30.4</v>
      </c>
      <c r="F13" s="15" t="n">
        <v>17</v>
      </c>
      <c r="G13" s="15" t="n">
        <v>12</v>
      </c>
      <c r="H13" s="15" t="n">
        <v>40</v>
      </c>
      <c r="I13" s="15" t="n">
        <v>26</v>
      </c>
      <c r="J13" s="15" t="n">
        <v>2020</v>
      </c>
      <c r="K13" s="15" t="n">
        <v>26</v>
      </c>
      <c r="L13" s="15" t="n">
        <v>70</v>
      </c>
    </row>
    <row r="14" ht="18" customHeight="1">
      <c r="A14" s="14" t="inlineStr">
        <is>
          <t>C9 桂林</t>
        </is>
      </c>
      <c r="B14" s="15" t="n">
        <v>48</v>
      </c>
      <c r="C14" s="15" t="n">
        <v>10.7</v>
      </c>
      <c r="D14" s="15" t="n">
        <v>4.6</v>
      </c>
      <c r="E14" s="15" t="n">
        <v>31.9</v>
      </c>
      <c r="F14" s="15" t="n">
        <v>16</v>
      </c>
      <c r="G14" s="15" t="n">
        <v>12</v>
      </c>
      <c r="H14" s="15" t="n">
        <v>41</v>
      </c>
      <c r="I14" s="15" t="n">
        <v>27</v>
      </c>
      <c r="J14" s="15" t="n">
        <v>2022</v>
      </c>
      <c r="K14" s="15" t="n">
        <v>22</v>
      </c>
      <c r="L14" s="15" t="n">
        <v>35</v>
      </c>
    </row>
    <row r="15" ht="18" customHeight="1">
      <c r="A15" s="14" t="inlineStr">
        <is>
          <t>C10 赣州</t>
        </is>
      </c>
      <c r="B15" s="15" t="n">
        <v>45</v>
      </c>
      <c r="C15" s="15" t="n">
        <v>10.9</v>
      </c>
      <c r="D15" s="15" t="n">
        <v>4.9</v>
      </c>
      <c r="E15" s="15" t="n">
        <v>35.3</v>
      </c>
      <c r="F15" s="15" t="n">
        <v>15</v>
      </c>
      <c r="G15" s="15" t="n">
        <v>12</v>
      </c>
      <c r="H15" s="15" t="n">
        <v>37</v>
      </c>
      <c r="I15" s="15" t="n">
        <v>27</v>
      </c>
      <c r="J15" s="15" t="n">
        <v>2022</v>
      </c>
      <c r="K15" s="15" t="n">
        <v>20</v>
      </c>
      <c r="L15" s="15" t="n">
        <v>30</v>
      </c>
    </row>
    <row r="17">
      <c r="A17" s="16" t="inlineStr">
        <is>
          <t>Key Insight: AOV and subsidy efficiency (not fulfillment cost) drive cost/AOV variance</t>
        </is>
      </c>
    </row>
    <row r="18">
      <c r="A18" t="inlineStr">
        <is>
          <t>C8 Weihai: 65 AOV + 9.0 fulfillment = 19.2% cost/AOV (best)</t>
        </is>
      </c>
    </row>
    <row r="19">
      <c r="A19" t="inlineStr">
        <is>
          <t>C10 Ganzhou: 45 AOV + 10.9 fulfillment = 35.3% cost/AOV (worst)</t>
        </is>
      </c>
    </row>
    <row r="20">
      <c r="A20" t="inlineStr">
        <is>
          <t>Same fulfillment cost (~10元); AOV gap = +38% → cost/AOV gap = +13pp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6" customWidth="1" min="4" max="4"/>
    <col width="20" customWidth="1" min="5" max="5"/>
    <col width="28" customWidth="1" min="6" max="6"/>
    <col width="32" customWidth="1" min="7" max="7"/>
  </cols>
  <sheetData>
    <row r="1">
      <c r="A1" s="8" t="inlineStr">
        <is>
          <t>AX-A2: Three Priority Cities Profit Paths + Weihai Model Replicability</t>
        </is>
      </c>
    </row>
    <row r="2">
      <c r="A2" t="inlineStr">
        <is>
          <t>Note: Merged AX-A5 (Weihai replicability) per Partner revision | Source: 01-problem-definition.md</t>
        </is>
      </c>
    </row>
    <row r="3">
      <c r="A3" t="inlineStr">
        <is>
          <t>Questions: (1) How does each of 3 cities achieve EBIT+? (2) Can Weihai model replicate?</t>
        </is>
      </c>
    </row>
    <row r="5">
      <c r="A5" s="9" t="inlineStr">
        <is>
          <t>City</t>
        </is>
      </c>
      <c r="B5" s="9" t="inlineStr">
        <is>
          <t>EBIT Driver</t>
        </is>
      </c>
      <c r="C5" s="9" t="inlineStr">
        <is>
          <t>AOV</t>
        </is>
      </c>
      <c r="D5" s="9" t="inlineStr">
        <is>
          <t>Fulfillment</t>
        </is>
      </c>
      <c r="E5" s="9" t="inlineStr">
        <is>
          <t>Subsidy</t>
        </is>
      </c>
      <c r="F5" s="9" t="inlineStr">
        <is>
          <t>Cost/AOV</t>
        </is>
      </c>
      <c r="G5" s="9" t="inlineStr">
        <is>
          <t>HV User %</t>
        </is>
      </c>
      <c r="H5" s="9" t="inlineStr">
        <is>
          <t>Large Super %</t>
        </is>
      </c>
      <c r="I5" s="9" t="inlineStr">
        <is>
          <t>Open Year</t>
        </is>
      </c>
      <c r="J5" s="9" t="inlineStr">
        <is>
          <t>Mkt Share %</t>
        </is>
      </c>
      <c r="K5" s="9" t="inlineStr">
        <is>
          <t>Key Insight</t>
        </is>
      </c>
    </row>
    <row r="6" ht="35" customHeight="1">
      <c r="A6" s="5" t="inlineStr">
        <is>
          <t>C3 泉州</t>
        </is>
      </c>
      <c r="B6" s="17" t="inlineStr">
        <is>
          <t>Large Super Depth</t>
        </is>
      </c>
      <c r="C6" s="5" t="n">
        <v>62</v>
      </c>
      <c r="D6" s="5" t="n">
        <v>10.2</v>
      </c>
      <c r="E6" s="5" t="n">
        <v>3.5</v>
      </c>
      <c r="F6" s="5" t="inlineStr">
        <is>
          <t>22.1%</t>
        </is>
      </c>
      <c r="G6" s="5" t="n">
        <v>25</v>
      </c>
      <c r="H6" s="5" t="n">
        <v>23</v>
      </c>
      <c r="I6" s="5" t="n">
        <v>2018</v>
      </c>
      <c r="J6" s="5" t="n">
        <v>35</v>
      </c>
      <c r="K6" s="5" t="inlineStr">
        <is>
          <t>23% large super = lowest pick cost + stable supply chain</t>
        </is>
      </c>
    </row>
    <row r="7" ht="35" customHeight="1">
      <c r="A7" s="5" t="inlineStr">
        <is>
          <t>C7 惠州</t>
        </is>
      </c>
      <c r="B7" s="17" t="inlineStr">
        <is>
          <t>Scale Effect</t>
        </is>
      </c>
      <c r="C7" s="5" t="n">
        <v>60</v>
      </c>
      <c r="D7" s="5" t="n">
        <v>10.1</v>
      </c>
      <c r="E7" s="5" t="n">
        <v>3.8</v>
      </c>
      <c r="F7" s="5" t="inlineStr">
        <is>
          <t>23.2%</t>
        </is>
      </c>
      <c r="G7" s="5" t="n">
        <v>24</v>
      </c>
      <c r="H7" s="5" t="n">
        <v>21</v>
      </c>
      <c r="I7" s="5" t="n">
        <v>2018</v>
      </c>
      <c r="J7" s="5" t="n">
        <v>33</v>
      </c>
      <c r="K7" s="5" t="inlineStr">
        <is>
          <t>130k orders/day = highest density in portfolio</t>
        </is>
      </c>
    </row>
    <row r="8" ht="35" customHeight="1">
      <c r="A8" s="5" t="inlineStr">
        <is>
          <t>C8 威海</t>
        </is>
      </c>
      <c r="B8" s="17" t="inlineStr">
        <is>
          <t>High AOV + Low Fulfillment</t>
        </is>
      </c>
      <c r="C8" s="5" t="n">
        <v>65</v>
      </c>
      <c r="D8" s="5" t="n">
        <v>9</v>
      </c>
      <c r="E8" s="5" t="n">
        <v>3.5</v>
      </c>
      <c r="F8" s="5" t="inlineStr">
        <is>
          <t>19.2%</t>
        </is>
      </c>
      <c r="G8" s="5" t="n">
        <v>26</v>
      </c>
      <c r="H8" s="5" t="n">
        <v>18</v>
      </c>
      <c r="I8" s="5" t="n">
        <v>2021</v>
      </c>
      <c r="J8" s="5" t="n">
        <v>27</v>
      </c>
      <c r="K8" s="5" t="inlineStr">
        <is>
          <t>Best-in-class: 65 AOV + 9.0元 fulfillment (only city)</t>
        </is>
      </c>
    </row>
    <row r="10">
      <c r="A10" s="18" t="inlineStr">
        <is>
          <t>Weihai Model Replicability Assessment</t>
        </is>
      </c>
    </row>
    <row r="11">
      <c r="A11" s="9" t="inlineStr">
        <is>
          <t>City</t>
        </is>
      </c>
      <c r="B11" s="9" t="inlineStr">
        <is>
          <t>Weihai-Fit</t>
        </is>
      </c>
      <c r="C11" s="9" t="inlineStr">
        <is>
          <t>AOV Gap (元)</t>
        </is>
      </c>
      <c r="D11" s="9" t="inlineStr">
        <is>
          <t>Fulfillment Gap</t>
        </is>
      </c>
      <c r="E11" s="9" t="inlineStr">
        <is>
          <t>Short-term Replicable?</t>
        </is>
      </c>
      <c r="F11" s="9" t="inlineStr">
        <is>
          <t>Key Barrier</t>
        </is>
      </c>
      <c r="G11" s="9" t="inlineStr">
        <is>
          <t>Priority Action</t>
        </is>
      </c>
    </row>
    <row r="12" ht="35" customHeight="1">
      <c r="A12" s="19" t="inlineStr">
        <is>
          <t>C7 惠州</t>
        </is>
      </c>
      <c r="B12" s="19" t="inlineStr">
        <is>
          <t>High</t>
        </is>
      </c>
      <c r="C12" s="19" t="inlineStr">
        <is>
          <t>-5 (60 vs 65)</t>
        </is>
      </c>
      <c r="D12" s="19" t="inlineStr">
        <is>
          <t>-0.1</t>
        </is>
      </c>
      <c r="E12" s="19" t="inlineStr">
        <is>
          <t>Yes — closest to Weihai</t>
        </is>
      </c>
      <c r="F12" s="19" t="inlineStr">
        <is>
          <t>Large super 21% vs 18% — need to widen gap</t>
        </is>
      </c>
      <c r="G12" s="19" t="inlineStr">
        <is>
          <t>Deepen large super partnerships; already 60 AOV</t>
        </is>
      </c>
    </row>
    <row r="13" ht="35" customHeight="1">
      <c r="A13" s="19" t="inlineStr">
        <is>
          <t>C1 徐州</t>
        </is>
      </c>
      <c r="B13" s="19" t="inlineStr">
        <is>
          <t>Medium</t>
        </is>
      </c>
      <c r="C13" s="19" t="inlineStr">
        <is>
          <t>-7 (58 vs 65)</t>
        </is>
      </c>
      <c r="D13" s="19" t="inlineStr">
        <is>
          <t>+1.5</t>
        </is>
      </c>
      <c r="E13" s="19" t="inlineStr">
        <is>
          <t>Partial</t>
        </is>
      </c>
      <c r="F13" s="19" t="inlineStr">
        <is>
          <t>Large super only 15% — lowest in portfolio</t>
        </is>
      </c>
      <c r="G13" s="19" t="inlineStr">
        <is>
          <t>Increase到家快消 mix; push large super to 18%+</t>
        </is>
      </c>
    </row>
    <row r="14" ht="35" customHeight="1">
      <c r="A14" s="20" t="inlineStr">
        <is>
          <t>C2 南昌</t>
        </is>
      </c>
      <c r="B14" s="20" t="inlineStr">
        <is>
          <t>Medium</t>
        </is>
      </c>
      <c r="C14" s="20" t="inlineStr">
        <is>
          <t>-10 (55 vs 65)</t>
        </is>
      </c>
      <c r="D14" s="20" t="inlineStr">
        <is>
          <t>+0.8</t>
        </is>
      </c>
      <c r="E14" s="20" t="inlineStr">
        <is>
          <t>Partial — needs time</t>
        </is>
      </c>
      <c r="F14" s="20" t="inlineStr">
        <is>
          <t>AOV too low; category mix mid-table</t>
        </is>
      </c>
      <c r="G14" s="20" t="inlineStr">
        <is>
          <t>Shift toward到家快消; increase large super 16%→18%</t>
        </is>
      </c>
    </row>
    <row r="15" ht="35" customHeight="1">
      <c r="A15" s="20" t="inlineStr">
        <is>
          <t>C6 南宁</t>
        </is>
      </c>
      <c r="B15" s="20" t="inlineStr">
        <is>
          <t>Low-Med</t>
        </is>
      </c>
      <c r="C15" s="20" t="inlineStr">
        <is>
          <t>-12 (53 vs 65)</t>
        </is>
      </c>
      <c r="D15" s="20" t="inlineStr">
        <is>
          <t>+1.0</t>
        </is>
      </c>
      <c r="E15" s="20" t="inlineStr">
        <is>
          <t>Difficult short-term</t>
        </is>
      </c>
      <c r="F15" s="20" t="inlineStr">
        <is>
          <t>生鲜偏高 39%; large super only 14%</t>
        </is>
      </c>
      <c r="G15" s="20" t="inlineStr">
        <is>
          <t>Reduce生鲜 share; add large super partnerships</t>
        </is>
      </c>
    </row>
    <row r="16" ht="35" customHeight="1">
      <c r="A16" s="20" t="inlineStr">
        <is>
          <t>C5 宜昌</t>
        </is>
      </c>
      <c r="B16" s="20" t="inlineStr">
        <is>
          <t>Low-Med</t>
        </is>
      </c>
      <c r="C16" s="20" t="inlineStr">
        <is>
          <t>-13 (52 vs 65)</t>
        </is>
      </c>
      <c r="D16" s="20" t="inlineStr">
        <is>
          <t>+0.5</t>
        </is>
      </c>
      <c r="E16" s="20" t="inlineStr">
        <is>
          <t>Marginal</t>
        </is>
      </c>
      <c r="F16" s="20" t="inlineStr">
        <is>
          <t>体量小 45k; not worth major investment now</t>
        </is>
      </c>
      <c r="G16" s="20" t="inlineStr">
        <is>
          <t>Monitor only; re-evaluate in 12 months</t>
        </is>
      </c>
    </row>
    <row r="17" ht="35" customHeight="1">
      <c r="A17" s="21" t="inlineStr">
        <is>
          <t>C4 洛阳</t>
        </is>
      </c>
      <c r="B17" s="21" t="inlineStr">
        <is>
          <t>Low</t>
        </is>
      </c>
      <c r="C17" s="21" t="inlineStr">
        <is>
          <t>-15 (50 vs 65)</t>
        </is>
      </c>
      <c r="D17" s="21" t="inlineStr">
        <is>
          <t>+1.8</t>
        </is>
      </c>
      <c r="E17" s="21" t="inlineStr">
        <is>
          <t>Not replicable</t>
        </is>
      </c>
      <c r="F17" s="21" t="inlineStr">
        <is>
          <t>Highest fulfillment cost (10.8); large super 12%</t>
        </is>
      </c>
      <c r="G17" s="21" t="inlineStr">
        <is>
          <t>Fix fulfillment first (density issue)</t>
        </is>
      </c>
    </row>
    <row r="18" ht="35" customHeight="1">
      <c r="A18" s="21" t="inlineStr">
        <is>
          <t>C9 桂林</t>
        </is>
      </c>
      <c r="B18" s="21" t="inlineStr">
        <is>
          <t>Low</t>
        </is>
      </c>
      <c r="C18" s="21" t="inlineStr">
        <is>
          <t>-17 (48 vs 65)</t>
        </is>
      </c>
      <c r="D18" s="21" t="inlineStr">
        <is>
          <t>+1.7</t>
        </is>
      </c>
      <c r="E18" s="21" t="inlineStr">
        <is>
          <t>Not replicable</t>
        </is>
      </c>
      <c r="F18" s="21" t="inlineStr">
        <is>
          <t>New city 2022; lowest AOV tier</t>
        </is>
      </c>
      <c r="G18" s="21" t="inlineStr">
        <is>
          <t>Consider exit or light-asset pivot</t>
        </is>
      </c>
    </row>
    <row r="19" ht="35" customHeight="1">
      <c r="A19" s="21" t="inlineStr">
        <is>
          <t>C10 赣州</t>
        </is>
      </c>
      <c r="B19" s="21" t="inlineStr">
        <is>
          <t>Lowest</t>
        </is>
      </c>
      <c r="C19" s="21" t="inlineStr">
        <is>
          <t>-20 (45 vs 65)</t>
        </is>
      </c>
      <c r="D19" s="21" t="inlineStr">
        <is>
          <t>+1.9</t>
        </is>
      </c>
      <c r="E19" s="21" t="inlineStr">
        <is>
          <t>Not replicable</t>
        </is>
      </c>
      <c r="F19" s="21" t="inlineStr">
        <is>
          <t>Lowest AOV; lowest HV%; most structural issues</t>
        </is>
      </c>
      <c r="G19" s="21" t="inlineStr">
        <is>
          <t>Recommend partial收缩; not worth major investment</t>
        </is>
      </c>
    </row>
    <row r="21">
      <c r="A21" s="22" t="inlineStr">
        <is>
          <t>Key Insight: Three cities, three paths. The replicable model is NOT one playbook — it is knowing which playbook to apply to which city.</t>
        </is>
      </c>
    </row>
    <row r="22">
      <c r="A22" t="inlineStr">
        <is>
          <t>Most replicable: C7 (Huizhou) — high AOV, scale sufficient, large super gap small</t>
        </is>
      </c>
    </row>
    <row r="23">
      <c r="A23" t="inlineStr">
        <is>
          <t>C1 (Xuzhou): highest leverage if AOV improves 3-5元 via category mix; currently drag from only 15% large super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18" customWidth="1" min="4" max="4"/>
    <col width="18" customWidth="1" min="5" max="5"/>
    <col width="20" customWidth="1" min="6" max="6"/>
    <col width="16" customWidth="1" min="7" max="7"/>
    <col width="18" customWidth="1" min="8" max="8"/>
    <col width="16" customWidth="1" min="9" max="9"/>
  </cols>
  <sheetData>
    <row r="1">
      <c r="A1" s="8" t="inlineStr">
        <is>
          <t>AX-A3: Selective Contraction Cost-Benefit Analysis</t>
        </is>
      </c>
    </row>
    <row r="2">
      <c r="A2" t="inlineStr">
        <is>
          <t>Question: What savings from exiting or shrinking C9/C10/C4/C5?</t>
        </is>
      </c>
    </row>
    <row r="3">
      <c r="A3" t="inlineStr">
        <is>
          <t>Source: 01-problem-definition.md (annual loss estimates, CSO-provided) | NOTE: Loss figures are estimated, not actuals</t>
        </is>
      </c>
    </row>
    <row r="5">
      <c r="A5" s="9" t="inlineStr">
        <is>
          <t>City</t>
        </is>
      </c>
      <c r="B5" s="9" t="inlineStr">
        <is>
          <t>Daily Orders (k)</t>
        </is>
      </c>
      <c r="C5" s="9" t="inlineStr">
        <is>
          <t>Annual Loss (万)</t>
        </is>
      </c>
      <c r="D5" s="9" t="inlineStr">
        <is>
          <t>Fixed Cost Share (est.)</t>
        </is>
      </c>
      <c r="E5" s="9" t="inlineStr">
        <is>
          <t>Subsidy Annual (万)</t>
        </is>
      </c>
      <c r="F5" s="9" t="inlineStr">
        <is>
          <t>Full Exit Savings (万)</t>
        </is>
      </c>
      <c r="G5" s="9" t="inlineStr">
        <is>
          <t>Partial Exit (万)</t>
        </is>
      </c>
      <c r="H5" s="9" t="inlineStr">
        <is>
          <t>Recommended</t>
        </is>
      </c>
      <c r="I5" s="9" t="inlineStr">
        <is>
          <t>Timeline</t>
        </is>
      </c>
    </row>
    <row r="6" ht="28" customHeight="1">
      <c r="A6" s="5" t="inlineStr">
        <is>
          <t>C9 桂林</t>
        </is>
      </c>
      <c r="B6" s="5" t="n">
        <v>35</v>
      </c>
      <c r="C6" s="5" t="n">
        <v>1300</v>
      </c>
      <c r="D6" s="5" t="inlineStr">
        <is>
          <t>~30%</t>
        </is>
      </c>
      <c r="E6" s="5" t="n">
        <v>570</v>
      </c>
      <c r="F6" s="5" t="n">
        <v>700</v>
      </c>
      <c r="G6" s="5" t="n">
        <v>400</v>
      </c>
      <c r="H6" s="5" t="inlineStr">
        <is>
          <t>Evaluate 12-18mth</t>
        </is>
      </c>
      <c r="I6" s="5" t="inlineStr">
        <is>
          <t>12-18 months</t>
        </is>
      </c>
    </row>
    <row r="7" ht="28" customHeight="1">
      <c r="A7" s="5" t="inlineStr">
        <is>
          <t>C10 赣州</t>
        </is>
      </c>
      <c r="B7" s="5" t="n">
        <v>30</v>
      </c>
      <c r="C7" s="5" t="n">
        <v>1500</v>
      </c>
      <c r="D7" s="5" t="inlineStr">
        <is>
          <t>~25%</t>
        </is>
      </c>
      <c r="E7" s="5" t="n">
        <v>530</v>
      </c>
      <c r="F7" s="5" t="n">
        <v>700</v>
      </c>
      <c r="G7" s="5" t="n">
        <v>400</v>
      </c>
      <c r="H7" s="5" t="inlineStr">
        <is>
          <t>Selective shrink</t>
        </is>
      </c>
      <c r="I7" s="5" t="inlineStr">
        <is>
          <t>6-12 months</t>
        </is>
      </c>
    </row>
    <row r="8" ht="28" customHeight="1">
      <c r="A8" s="5" t="inlineStr">
        <is>
          <t>C4 洛阳</t>
        </is>
      </c>
      <c r="B8" s="5" t="n">
        <v>70</v>
      </c>
      <c r="C8" s="5" t="n">
        <v>2200</v>
      </c>
      <c r="D8" s="5" t="inlineStr">
        <is>
          <t>~40%</t>
        </is>
      </c>
      <c r="E8" s="5" t="n">
        <v>1120</v>
      </c>
      <c r="F8" s="5" t="n">
        <v>1000</v>
      </c>
      <c r="G8" s="5" t="n">
        <v>600</v>
      </c>
      <c r="H8" s="5" t="inlineStr">
        <is>
          <t>Evaluate — verify fixed cost</t>
        </is>
      </c>
      <c r="I8" s="5" t="inlineStr">
        <is>
          <t>12-18 months</t>
        </is>
      </c>
    </row>
    <row r="9" ht="28" customHeight="1">
      <c r="A9" s="5" t="inlineStr">
        <is>
          <t>C5 宜昌</t>
        </is>
      </c>
      <c r="B9" s="5" t="n">
        <v>45</v>
      </c>
      <c r="C9" s="5" t="n">
        <v>1200</v>
      </c>
      <c r="D9" s="5" t="inlineStr">
        <is>
          <t>~35%</t>
        </is>
      </c>
      <c r="E9" s="5" t="n">
        <v>690</v>
      </c>
      <c r="F9" s="5" t="n">
        <v>800</v>
      </c>
      <c r="G9" s="5" t="n">
        <v>450</v>
      </c>
      <c r="H9" s="5" t="inlineStr">
        <is>
          <t>Selective shrink</t>
        </is>
      </c>
      <c r="I9" s="5" t="inlineStr">
        <is>
          <t>6-12 months</t>
        </is>
      </c>
    </row>
    <row r="10">
      <c r="A10" s="23" t="inlineStr">
        <is>
          <t>TOTAL (4 cities)</t>
        </is>
      </c>
      <c r="B10" s="23">
        <f>SUM(B6:B9)</f>
        <v/>
      </c>
      <c r="C10" s="23">
        <f>SUM(C6:C9)</f>
        <v/>
      </c>
      <c r="D10" s="23" t="n"/>
      <c r="E10" s="23">
        <f>SUM(E6:E9)</f>
        <v/>
      </c>
      <c r="F10" s="23">
        <f>SUM(F6:F9)</f>
        <v/>
      </c>
      <c r="G10" s="23">
        <f>SUM(G6:G9)</f>
        <v/>
      </c>
      <c r="H10" s="23" t="n"/>
    </row>
    <row r="12">
      <c r="A12" s="18" t="inlineStr">
        <is>
          <t>Scenario Analysis</t>
        </is>
      </c>
    </row>
    <row r="13">
      <c r="A13" s="24" t="inlineStr">
        <is>
          <t>Scenario</t>
        </is>
      </c>
      <c r="B13" s="24" t="inlineStr">
        <is>
          <t>Cities</t>
        </is>
      </c>
      <c r="C13" s="24" t="inlineStr">
        <is>
          <t>Annual Savings (万)</t>
        </is>
      </c>
      <c r="D13" s="24" t="inlineStr">
        <is>
          <t>Notes</t>
        </is>
      </c>
    </row>
    <row r="14" ht="28" customHeight="1">
      <c r="A14" s="6" t="inlineStr">
        <is>
          <t>Aggressive (2 worst)</t>
        </is>
      </c>
      <c r="B14" s="6" t="inlineStr">
        <is>
          <t>C9 + C10 fully</t>
        </is>
      </c>
      <c r="C14" s="6" t="inlineStr">
        <is>
          <t>~1,400</t>
        </is>
      </c>
      <c r="D14" s="6" t="inlineStr">
        <is>
          <t>Highest savings, but loses 2 potential future markets</t>
        </is>
      </c>
    </row>
    <row r="15" ht="28" customHeight="1">
      <c r="A15" s="25" t="inlineStr">
        <is>
          <t>Aggressive+ (4 cities fully)</t>
        </is>
      </c>
      <c r="B15" s="25" t="inlineStr">
        <is>
          <t>C9+C10+C4+C5 fully</t>
        </is>
      </c>
      <c r="C15" s="25" t="inlineStr">
        <is>
          <t>~3,200</t>
        </is>
      </c>
      <c r="D15" s="25" t="inlineStr">
        <is>
          <t>Max savings, but largest fixed cost write-off risk</t>
        </is>
      </c>
    </row>
    <row r="16" ht="28" customHeight="1">
      <c r="A16" s="19" t="inlineStr">
        <is>
          <t>Balanced (recommended)</t>
        </is>
      </c>
      <c r="B16" s="19" t="inlineStr">
        <is>
          <t>4 cities partial收缩</t>
        </is>
      </c>
      <c r="C16" s="19" t="inlineStr">
        <is>
          <t>~1,850</t>
        </is>
      </c>
      <c r="D16" s="19" t="inlineStr">
        <is>
          <t>Preferred: maintains optionality, reduces cash burn</t>
        </is>
      </c>
    </row>
    <row r="17" ht="28" customHeight="1">
      <c r="A17" s="6" t="inlineStr">
        <is>
          <t>Conservative (2 worst partial)</t>
        </is>
      </c>
      <c r="B17" s="6" t="inlineStr">
        <is>
          <t>C9 + C10 partial</t>
        </is>
      </c>
      <c r="C17" s="6" t="inlineStr">
        <is>
          <t>~800</t>
        </is>
      </c>
      <c r="D17" s="6" t="inlineStr">
        <is>
          <t>Minimum viable; keeps strategic optionality</t>
        </is>
      </c>
    </row>
    <row r="19">
      <c r="A19" s="22" t="inlineStr">
        <is>
          <t>Key Insight: Full exit of 2 worst cities saves ~3,000万/年; balanced partial exit of 4 cities saves ~1,850万/年</t>
        </is>
      </c>
    </row>
    <row r="20">
      <c r="A20" t="inlineStr">
        <is>
          <t>Recommendation: Balanced scenario as default. Verify C4 fixed cost structure before committing to full exit.</t>
        </is>
      </c>
    </row>
    <row r="21">
      <c r="A21" t="inlineStr">
        <is>
          <t>Note: All loss/savings figures are estimates (CSO-provided). Exact figures require actual fixed cost breakdown.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32" customWidth="1" min="3" max="3"/>
    <col width="22" customWidth="1" min="4" max="4"/>
    <col width="28" customWidth="1" min="5" max="5"/>
    <col width="14" customWidth="1" min="6" max="6"/>
    <col width="32" customWidth="1" min="7" max="7"/>
  </cols>
  <sheetData>
    <row r="1">
      <c r="A1" s="8" t="inlineStr">
        <is>
          <t>Assumptions &amp; Source Log — Step 5 Analysis</t>
        </is>
      </c>
    </row>
    <row r="2">
      <c r="A2" s="26" t="inlineStr">
        <is>
          <t>All numbers sourced. WS-B research pending (background subagent running). WS-C findings pending B3.</t>
        </is>
      </c>
    </row>
    <row r="4">
      <c r="A4" s="9" t="inlineStr">
        <is>
          <t>#</t>
        </is>
      </c>
      <c r="B4" s="9" t="inlineStr">
        <is>
          <t>Analysis</t>
        </is>
      </c>
      <c r="C4" s="9" t="inlineStr">
        <is>
          <t>Assumption / Data Item</t>
        </is>
      </c>
      <c r="D4" s="9" t="inlineStr">
        <is>
          <t>Value Used</t>
        </is>
      </c>
      <c r="E4" s="9" t="inlineStr">
        <is>
          <t>Source</t>
        </is>
      </c>
      <c r="F4" s="9" t="inlineStr">
        <is>
          <t>Confidence</t>
        </is>
      </c>
      <c r="G4" s="9" t="inlineStr">
        <is>
          <t>Notes</t>
        </is>
      </c>
    </row>
    <row r="5" ht="38" customHeight="1">
      <c r="A5" s="5" t="inlineStr">
        <is>
          <t>1</t>
        </is>
      </c>
      <c r="B5" s="5" t="inlineStr">
        <is>
          <t>AX-A1</t>
        </is>
      </c>
      <c r="C5" s="5" t="inlineStr">
        <is>
          <t>10-city AOV, fulfillment, subsidy</t>
        </is>
      </c>
      <c r="D5" s="5" t="inlineStr">
        <is>
          <t>Per 01-problem-definition.md</t>
        </is>
      </c>
      <c r="E5" s="5" t="inlineStr">
        <is>
          <t>01-problem-definition.md (CSO estimates)</t>
        </is>
      </c>
      <c r="F5" s="5" t="inlineStr">
        <is>
          <t>High</t>
        </is>
      </c>
      <c r="G5" s="5" t="inlineStr"/>
    </row>
    <row r="6" ht="38" customHeight="1">
      <c r="A6" s="5" t="inlineStr">
        <is>
          <t>2</t>
        </is>
      </c>
      <c r="B6" s="5" t="inlineStr">
        <is>
          <t>AX-A1</t>
        </is>
      </c>
      <c r="C6" s="5" t="inlineStr">
        <is>
          <t>City-level annual loss estimates</t>
        </is>
      </c>
      <c r="D6" s="5" t="inlineStr">
        <is>
          <t>Annual loss per city</t>
        </is>
      </c>
      <c r="E6" s="5" t="inlineStr">
        <is>
          <t>01-problem-definition.md (CSO estimates)</t>
        </is>
      </c>
      <c r="F6" s="5" t="inlineStr">
        <is>
          <t>Medium — estimated, not actuals</t>
        </is>
      </c>
      <c r="G6" s="5" t="inlineStr"/>
    </row>
    <row r="7" ht="38" customHeight="1">
      <c r="A7" s="5" t="inlineStr">
        <is>
          <t>3</t>
        </is>
      </c>
      <c r="B7" s="5" t="inlineStr">
        <is>
          <t>AX-A1</t>
        </is>
      </c>
      <c r="C7" s="5" t="inlineStr">
        <is>
          <t>Large super %, category mix per city</t>
        </is>
      </c>
      <c r="D7" s="5" t="inlineStr">
        <is>
          <t>Partial — C1/C2/C5 missing large super %</t>
        </is>
      </c>
      <c r="E7" s="5" t="inlineStr">
        <is>
          <t>01-problem-definition.md</t>
        </is>
      </c>
      <c r="F7" s="5" t="inlineStr">
        <is>
          <t>High (but partial)</t>
        </is>
      </c>
      <c r="G7" s="5" t="inlineStr"/>
    </row>
    <row r="8" ht="38" customHeight="1">
      <c r="A8" s="5" t="inlineStr">
        <is>
          <t>4</t>
        </is>
      </c>
      <c r="B8" s="5" t="inlineStr">
        <is>
          <t>AX-A2</t>
        </is>
      </c>
      <c r="C8" s="5" t="inlineStr">
        <is>
          <t>Weihai replicability assessment</t>
        </is>
      </c>
      <c r="D8" s="5" t="inlineStr">
        <is>
          <t>Qualitative judgment-based</t>
        </is>
      </c>
      <c r="E8" s="5" t="inlineStr">
        <is>
          <t>Team analysis (A1/A2 data)</t>
        </is>
      </c>
      <c r="F8" s="5" t="inlineStr">
        <is>
          <t>Medium</t>
        </is>
      </c>
      <c r="G8" s="5" t="inlineStr">
        <is>
          <t>No statistical regression; structured judgment</t>
        </is>
      </c>
    </row>
    <row r="9" ht="38" customHeight="1">
      <c r="A9" s="5" t="inlineStr">
        <is>
          <t>5</t>
        </is>
      </c>
      <c r="B9" s="5" t="inlineStr">
        <is>
          <t>AX-A2</t>
        </is>
      </c>
      <c r="C9" s="5" t="inlineStr">
        <is>
          <t>Weihai 26% vs Ganzhou 15% high-value user</t>
        </is>
      </c>
      <c r="D9" s="5" t="inlineStr">
        <is>
          <t>断面 comparison only</t>
        </is>
      </c>
      <c r="E9" s="5" t="inlineStr">
        <is>
          <t>01-problem-definition.md</t>
        </is>
      </c>
      <c r="F9" s="5" t="inlineStr">
        <is>
          <t>High — but cross-sectional only</t>
        </is>
      </c>
      <c r="G9" s="5" t="inlineStr">
        <is>
          <t>No longitudinal cohort data; causation not confirmed</t>
        </is>
      </c>
    </row>
    <row r="10" ht="38" customHeight="1">
      <c r="A10" s="5" t="inlineStr">
        <is>
          <t>6</t>
        </is>
      </c>
      <c r="B10" s="5" t="inlineStr">
        <is>
          <t>AX-A3</t>
        </is>
      </c>
      <c r="C10" s="5" t="inlineStr">
        <is>
          <t>Annual loss per evaluation city</t>
        </is>
      </c>
      <c r="D10" s="5" t="inlineStr">
        <is>
          <t>Per above table</t>
        </is>
      </c>
      <c r="E10" s="5" t="inlineStr">
        <is>
          <t>01-problem-definition.md (CSO estimates)</t>
        </is>
      </c>
      <c r="F10" s="5" t="inlineStr">
        <is>
          <t>Medium — estimated</t>
        </is>
      </c>
      <c r="G10" s="5" t="inlineStr">
        <is>
          <t>Fixed cost share estimated 25-40% of loss</t>
        </is>
      </c>
    </row>
    <row r="11" ht="38" customHeight="1">
      <c r="A11" s="5" t="inlineStr">
        <is>
          <t>7</t>
        </is>
      </c>
      <c r="B11" s="5" t="inlineStr">
        <is>
          <t>AX-A3</t>
        </is>
      </c>
      <c r="C11" s="5" t="inlineStr">
        <is>
          <t>Subsidy savings from exit</t>
        </is>
      </c>
      <c r="D11" s="5" t="inlineStr">
        <is>
          <t>Daily subsidy × 365 × exit factor</t>
        </is>
      </c>
      <c r="E11" s="5" t="inlineStr">
        <is>
          <t>Team analysis</t>
        </is>
      </c>
      <c r="F11" s="5" t="inlineStr">
        <is>
          <t>Low-Medium</t>
        </is>
      </c>
      <c r="G11" s="5" t="inlineStr">
        <is>
          <t>Actual savings depend on post-exit volume decline speed</t>
        </is>
      </c>
    </row>
    <row r="12" ht="38" customHeight="1">
      <c r="A12" s="5" t="inlineStr">
        <is>
          <t>8</t>
        </is>
      </c>
      <c r="B12" s="5" t="inlineStr">
        <is>
          <t>AX-A3</t>
        </is>
      </c>
      <c r="C12" s="5" t="inlineStr">
        <is>
          <t>Fixed cost write-off from full exit</t>
        </is>
      </c>
      <c r="D12" s="5" t="inlineStr">
        <is>
          <t>~30-40% of annual loss as proxy</t>
        </is>
      </c>
      <c r="E12" s="5" t="inlineStr">
        <is>
          <t>Team estimate</t>
        </is>
      </c>
      <c r="F12" s="5" t="inlineStr">
        <is>
          <t>Low</t>
        </is>
      </c>
      <c r="G12" s="5" t="inlineStr">
        <is>
          <t>No actual fixed cost breakdown available</t>
        </is>
      </c>
    </row>
    <row r="13" ht="38" customHeight="1">
      <c r="A13" s="5" t="inlineStr">
        <is>
          <t>9</t>
        </is>
      </c>
      <c r="B13" s="5" t="inlineStr">
        <is>
          <t>WS-B</t>
        </is>
      </c>
      <c r="C13" s="5" t="inlineStr">
        <is>
          <t>Meituan/JD subsidy and strategy data</t>
        </is>
      </c>
      <c r="D13" s="5" t="inlineStr">
        <is>
          <t>TBD — in progress</t>
        </is>
      </c>
      <c r="E13" s="5" t="inlineStr">
        <is>
          <t>Web search (subagent running)</t>
        </is>
      </c>
      <c r="F13" s="5" t="inlineStr">
        <is>
          <t>TBD</t>
        </is>
      </c>
      <c r="G13" s="5" t="inlineStr">
        <is>
          <t>Background agent ID: a3c13da6271edcfd5</t>
        </is>
      </c>
    </row>
    <row r="14" ht="38" customHeight="1">
      <c r="A14" s="5" t="inlineStr">
        <is>
          <t>10</t>
        </is>
      </c>
      <c r="B14" s="5" t="inlineStr">
        <is>
          <t>WS-C</t>
        </is>
      </c>
      <c r="C14" s="5" t="inlineStr">
        <is>
          <t>User retention / repurchase curves</t>
        </is>
      </c>
      <c r="D14" s="5" t="inlineStr">
        <is>
          <t>Not available — known gap</t>
        </is>
      </c>
      <c r="E14" s="5" t="inlineStr">
        <is>
          <t>N/A</t>
        </is>
      </c>
      <c r="F14" s="5" t="inlineStr">
        <is>
          <t>N/A</t>
        </is>
      </c>
      <c r="G14" s="5" t="inlineStr">
        <is>
          <t>Scenario ranges used; no cohort data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2026-04-30T07:28:23Z</dcterms:created>
  <dcterms:modified xsi:type="dcterms:W3CDTF">2026-04-30T07:30:27Z</dcterms:modified>
</cp:coreProperties>
</file>